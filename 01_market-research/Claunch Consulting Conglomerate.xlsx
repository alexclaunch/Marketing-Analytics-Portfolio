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lexclaunch/Downloads/"/>
    </mc:Choice>
  </mc:AlternateContent>
  <xr:revisionPtr revIDLastSave="0" documentId="8_{D9F8558B-2583-9E46-93A4-CCCEB79041F0}" xr6:coauthVersionLast="47" xr6:coauthVersionMax="47" xr10:uidLastSave="{00000000-0000-0000-0000-000000000000}"/>
  <bookViews>
    <workbookView xWindow="780" yWindow="980" windowWidth="26620" windowHeight="16440" activeTab="1" xr2:uid="{0DAF104C-F393-0548-AEDC-8BBE38501B68}"/>
  </bookViews>
  <sheets>
    <sheet name="Claunch Consulting Conglomerate" sheetId="1" r:id="rId1"/>
    <sheet name="Cleaned 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5" i="3" l="1"/>
  <c r="P96" i="3"/>
  <c r="P97" i="3"/>
  <c r="P98" i="3"/>
  <c r="P99" i="3"/>
  <c r="P100" i="3"/>
  <c r="P101" i="3"/>
  <c r="P102" i="3"/>
  <c r="P103" i="3"/>
  <c r="P104" i="3"/>
  <c r="P105" i="3"/>
  <c r="P106" i="3"/>
  <c r="M95" i="3"/>
  <c r="M96" i="3"/>
  <c r="M97" i="3"/>
  <c r="M98" i="3"/>
  <c r="M99" i="3"/>
  <c r="M100" i="3"/>
  <c r="M101" i="3"/>
  <c r="M102" i="3"/>
  <c r="M103" i="3"/>
  <c r="M104" i="3"/>
  <c r="M105" i="3"/>
  <c r="M106" i="3"/>
  <c r="M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94" i="3"/>
  <c r="G8" i="3" a="1"/>
  <c r="G8" i="3"/>
  <c r="G3" i="3" a="1"/>
  <c r="G3" i="3"/>
  <c r="G83" i="3" a="1"/>
  <c r="G83" i="3"/>
  <c r="G6" i="3" a="1"/>
  <c r="G6" i="3"/>
  <c r="M3" i="3"/>
  <c r="H90" i="3"/>
  <c r="H69" i="3"/>
  <c r="H68" i="3"/>
  <c r="H66" i="3"/>
  <c r="H58" i="3"/>
  <c r="H57" i="3"/>
  <c r="H54" i="3"/>
  <c r="H51" i="3"/>
  <c r="H48" i="3"/>
  <c r="H47" i="3"/>
  <c r="H37" i="3"/>
  <c r="H16" i="3"/>
  <c r="H14" i="3"/>
  <c r="H10" i="3"/>
  <c r="H9" i="3"/>
  <c r="P18" i="1" a="1"/>
  <c r="P18" i="1"/>
  <c r="Q9" i="1"/>
  <c r="Q10" i="1"/>
  <c r="Q14" i="1"/>
  <c r="Q16" i="1"/>
  <c r="Q34" i="1"/>
  <c r="Q35" i="1"/>
  <c r="Q37" i="1"/>
  <c r="Q47" i="1"/>
  <c r="Q48" i="1"/>
  <c r="Q49" i="1"/>
  <c r="Q51" i="1"/>
  <c r="Q54" i="1"/>
  <c r="Q56" i="1"/>
  <c r="Q57" i="1"/>
  <c r="Q58" i="1"/>
  <c r="Q66" i="1"/>
  <c r="Q68" i="1"/>
  <c r="Q69" i="1"/>
  <c r="Q90" i="1"/>
  <c r="G94" i="3" a="1"/>
  <c r="G94" i="3"/>
  <c r="G93" i="3" a="1"/>
  <c r="G93" i="3"/>
  <c r="H93" i="3" s="1"/>
  <c r="G92" i="3" a="1"/>
  <c r="G92" i="3"/>
  <c r="H92" i="3" s="1"/>
  <c r="G91" i="3" a="1"/>
  <c r="G91" i="3"/>
  <c r="H91" i="3" s="1"/>
  <c r="G89" i="3" a="1"/>
  <c r="G89" i="3"/>
  <c r="H89" i="3" s="1"/>
  <c r="G88" i="3" a="1"/>
  <c r="G88" i="3"/>
  <c r="H88" i="3" s="1"/>
  <c r="G87" i="3" a="1"/>
  <c r="G87" i="3"/>
  <c r="H87" i="3" s="1"/>
  <c r="G86" i="3" a="1"/>
  <c r="G86" i="3"/>
  <c r="H86" i="3" s="1"/>
  <c r="G85" i="3" a="1"/>
  <c r="G85" i="3"/>
  <c r="H85" i="3" s="1"/>
  <c r="G84" i="3" a="1"/>
  <c r="G84" i="3"/>
  <c r="H84" i="3" s="1"/>
  <c r="H83" i="3"/>
  <c r="G82" i="3" a="1"/>
  <c r="G82" i="3"/>
  <c r="H82" i="3" s="1"/>
  <c r="G80" i="3" a="1"/>
  <c r="G80" i="3"/>
  <c r="H80" i="3" s="1"/>
  <c r="G79" i="3" a="1"/>
  <c r="G79" i="3"/>
  <c r="H79" i="3" s="1"/>
  <c r="G78" i="3" a="1"/>
  <c r="G78" i="3"/>
  <c r="H78" i="3" s="1"/>
  <c r="G77" i="3" a="1"/>
  <c r="G77" i="3"/>
  <c r="H77" i="3" s="1"/>
  <c r="G76" i="3" a="1"/>
  <c r="G76" i="3"/>
  <c r="H76" i="3" s="1"/>
  <c r="G75" i="3" a="1"/>
  <c r="G75" i="3"/>
  <c r="H75" i="3" s="1"/>
  <c r="G74" i="3" a="1"/>
  <c r="G74" i="3"/>
  <c r="H74" i="3" s="1"/>
  <c r="G73" i="3" a="1"/>
  <c r="G73" i="3"/>
  <c r="H73" i="3" s="1"/>
  <c r="G72" i="3" a="1"/>
  <c r="G72" i="3"/>
  <c r="H72" i="3" s="1"/>
  <c r="G71" i="3" a="1"/>
  <c r="G71" i="3"/>
  <c r="H71" i="3" s="1"/>
  <c r="G70" i="3" a="1"/>
  <c r="G70" i="3"/>
  <c r="H70" i="3" s="1"/>
  <c r="H67" i="3"/>
  <c r="G65" i="3" a="1"/>
  <c r="G65" i="3"/>
  <c r="H65" i="3" s="1"/>
  <c r="G64" i="3" a="1"/>
  <c r="G64" i="3"/>
  <c r="H64" i="3" s="1"/>
  <c r="G63" i="3" a="1"/>
  <c r="G63" i="3"/>
  <c r="H63" i="3" s="1"/>
  <c r="G62" i="3" a="1"/>
  <c r="G62" i="3"/>
  <c r="H62" i="3" s="1"/>
  <c r="G60" i="3" a="1"/>
  <c r="G60" i="3"/>
  <c r="H60" i="3" s="1"/>
  <c r="G55" i="3" a="1"/>
  <c r="G55" i="3"/>
  <c r="H55" i="3" s="1"/>
  <c r="G53" i="3" a="1"/>
  <c r="G53" i="3"/>
  <c r="H53" i="3" s="1"/>
  <c r="G52" i="3" a="1"/>
  <c r="G52" i="3"/>
  <c r="H52" i="3" s="1"/>
  <c r="G46" i="3" a="1"/>
  <c r="G46" i="3"/>
  <c r="H46" i="3" s="1"/>
  <c r="G45" i="3" a="1"/>
  <c r="G45" i="3"/>
  <c r="H45" i="3" s="1"/>
  <c r="G44" i="3" a="1"/>
  <c r="G44" i="3"/>
  <c r="H44" i="3" s="1"/>
  <c r="G43" i="3" a="1"/>
  <c r="G43" i="3"/>
  <c r="H43" i="3" s="1"/>
  <c r="G41" i="3" a="1"/>
  <c r="G41" i="3"/>
  <c r="H41" i="3" s="1"/>
  <c r="G40" i="3" a="1"/>
  <c r="G40" i="3"/>
  <c r="H40" i="3" s="1"/>
  <c r="G38" i="3" a="1"/>
  <c r="G38" i="3"/>
  <c r="H38" i="3" s="1"/>
  <c r="G36" i="3" a="1"/>
  <c r="G36" i="3"/>
  <c r="H36" i="3" s="1"/>
  <c r="G33" i="3" a="1"/>
  <c r="G33" i="3"/>
  <c r="H33" i="3" s="1"/>
  <c r="G32" i="3" a="1"/>
  <c r="G32" i="3"/>
  <c r="H32" i="3" s="1"/>
  <c r="G31" i="3" a="1"/>
  <c r="G31" i="3"/>
  <c r="H31" i="3" s="1"/>
  <c r="G28" i="3" a="1"/>
  <c r="G28" i="3"/>
  <c r="H28" i="3" s="1"/>
  <c r="G27" i="3" a="1"/>
  <c r="G27" i="3"/>
  <c r="H27" i="3" s="1"/>
  <c r="G26" i="3" a="1"/>
  <c r="G26" i="3"/>
  <c r="H26" i="3" s="1"/>
  <c r="G25" i="3" a="1"/>
  <c r="G25" i="3"/>
  <c r="H25" i="3" s="1"/>
  <c r="G24" i="3" a="1"/>
  <c r="G24" i="3"/>
  <c r="H24" i="3" s="1"/>
  <c r="G23" i="3" a="1"/>
  <c r="G23" i="3"/>
  <c r="H23" i="3" s="1"/>
  <c r="G21" i="3" a="1"/>
  <c r="G21" i="3"/>
  <c r="H21" i="3" s="1"/>
  <c r="G20" i="3" a="1"/>
  <c r="G20" i="3"/>
  <c r="H20" i="3" s="1"/>
  <c r="G19" i="3" a="1"/>
  <c r="G19" i="3"/>
  <c r="H19" i="3" s="1"/>
  <c r="G18" i="3" a="1"/>
  <c r="G18" i="3"/>
  <c r="G17" i="3" a="1"/>
  <c r="G17" i="3"/>
  <c r="H17" i="3" s="1"/>
  <c r="G15" i="3" a="1"/>
  <c r="G15" i="3"/>
  <c r="H15" i="3" s="1"/>
  <c r="G13" i="3" a="1"/>
  <c r="G13" i="3"/>
  <c r="H13" i="3" s="1"/>
  <c r="G12" i="3" a="1"/>
  <c r="G12" i="3"/>
  <c r="H12" i="3" s="1"/>
  <c r="G11" i="3" a="1"/>
  <c r="G11" i="3"/>
  <c r="H11" i="3" s="1"/>
  <c r="H8" i="3"/>
  <c r="G7" i="3" a="1"/>
  <c r="G7" i="3"/>
  <c r="G5" i="3" a="1"/>
  <c r="G5" i="3"/>
  <c r="H4" i="3"/>
  <c r="H3" i="3"/>
  <c r="K3" i="3"/>
  <c r="P3" i="3"/>
  <c r="K4" i="3"/>
  <c r="M4" i="3"/>
  <c r="P4" i="3"/>
  <c r="K5" i="3"/>
  <c r="M5" i="3"/>
  <c r="P5" i="3"/>
  <c r="K6" i="3"/>
  <c r="M6" i="3"/>
  <c r="P6" i="3"/>
  <c r="K7" i="3"/>
  <c r="M7" i="3"/>
  <c r="P7" i="3"/>
  <c r="K8" i="3"/>
  <c r="M8" i="3"/>
  <c r="P8" i="3"/>
  <c r="K9" i="3"/>
  <c r="M9" i="3"/>
  <c r="P9" i="3"/>
  <c r="K10" i="3"/>
  <c r="M10" i="3"/>
  <c r="P10" i="3"/>
  <c r="K11" i="3"/>
  <c r="M11" i="3"/>
  <c r="P11" i="3"/>
  <c r="K12" i="3"/>
  <c r="M12" i="3"/>
  <c r="P12" i="3"/>
  <c r="K13" i="3"/>
  <c r="M13" i="3"/>
  <c r="P13" i="3"/>
  <c r="K14" i="3"/>
  <c r="M14" i="3"/>
  <c r="P14" i="3"/>
  <c r="K15" i="3"/>
  <c r="M15" i="3"/>
  <c r="P15" i="3"/>
  <c r="K16" i="3"/>
  <c r="M16" i="3"/>
  <c r="P16" i="3"/>
  <c r="K17" i="3"/>
  <c r="M17" i="3"/>
  <c r="P17" i="3"/>
  <c r="K18" i="3"/>
  <c r="M18" i="3"/>
  <c r="P18" i="3"/>
  <c r="K19" i="3"/>
  <c r="M19" i="3"/>
  <c r="P19" i="3"/>
  <c r="K20" i="3"/>
  <c r="M20" i="3"/>
  <c r="P20" i="3"/>
  <c r="K21" i="3"/>
  <c r="M21" i="3"/>
  <c r="P21" i="3"/>
  <c r="K22" i="3"/>
  <c r="M22" i="3"/>
  <c r="P22" i="3"/>
  <c r="K23" i="3"/>
  <c r="M23" i="3"/>
  <c r="P23" i="3"/>
  <c r="K24" i="3"/>
  <c r="M24" i="3"/>
  <c r="P24" i="3"/>
  <c r="K25" i="3"/>
  <c r="M25" i="3"/>
  <c r="P25" i="3"/>
  <c r="K26" i="3"/>
  <c r="M26" i="3"/>
  <c r="P26" i="3"/>
  <c r="K27" i="3"/>
  <c r="M27" i="3"/>
  <c r="P27" i="3"/>
  <c r="K28" i="3"/>
  <c r="M28" i="3"/>
  <c r="P28" i="3"/>
  <c r="K29" i="3"/>
  <c r="M29" i="3"/>
  <c r="P29" i="3"/>
  <c r="K30" i="3"/>
  <c r="M30" i="3"/>
  <c r="P30" i="3"/>
  <c r="K31" i="3"/>
  <c r="M31" i="3"/>
  <c r="P31" i="3"/>
  <c r="K32" i="3"/>
  <c r="M32" i="3"/>
  <c r="P32" i="3"/>
  <c r="K33" i="3"/>
  <c r="M33" i="3"/>
  <c r="P33" i="3"/>
  <c r="K34" i="3"/>
  <c r="M34" i="3"/>
  <c r="P34" i="3"/>
  <c r="K35" i="3"/>
  <c r="M35" i="3"/>
  <c r="P35" i="3"/>
  <c r="K36" i="3"/>
  <c r="M36" i="3"/>
  <c r="P36" i="3"/>
  <c r="K37" i="3"/>
  <c r="M37" i="3"/>
  <c r="P37" i="3"/>
  <c r="K38" i="3"/>
  <c r="M38" i="3"/>
  <c r="P38" i="3"/>
  <c r="K39" i="3"/>
  <c r="M39" i="3"/>
  <c r="P39" i="3"/>
  <c r="K40" i="3"/>
  <c r="M40" i="3"/>
  <c r="P40" i="3"/>
  <c r="K41" i="3"/>
  <c r="M41" i="3"/>
  <c r="P41" i="3"/>
  <c r="K42" i="3"/>
  <c r="M42" i="3"/>
  <c r="P42" i="3"/>
  <c r="K43" i="3"/>
  <c r="M43" i="3"/>
  <c r="P43" i="3"/>
  <c r="K44" i="3"/>
  <c r="M44" i="3"/>
  <c r="P44" i="3"/>
  <c r="K45" i="3"/>
  <c r="M45" i="3"/>
  <c r="P45" i="3"/>
  <c r="K46" i="3"/>
  <c r="M46" i="3"/>
  <c r="P46" i="3"/>
  <c r="K47" i="3"/>
  <c r="M47" i="3"/>
  <c r="P47" i="3"/>
  <c r="K48" i="3"/>
  <c r="M48" i="3"/>
  <c r="P48" i="3"/>
  <c r="K49" i="3"/>
  <c r="M49" i="3"/>
  <c r="P49" i="3"/>
  <c r="K50" i="3"/>
  <c r="M50" i="3"/>
  <c r="P50" i="3"/>
  <c r="K51" i="3"/>
  <c r="M51" i="3"/>
  <c r="P51" i="3"/>
  <c r="K52" i="3"/>
  <c r="M52" i="3"/>
  <c r="P52" i="3"/>
  <c r="K53" i="3"/>
  <c r="M53" i="3"/>
  <c r="P53" i="3"/>
  <c r="K54" i="3"/>
  <c r="M54" i="3"/>
  <c r="P54" i="3"/>
  <c r="K55" i="3"/>
  <c r="M55" i="3"/>
  <c r="P55" i="3"/>
  <c r="K56" i="3"/>
  <c r="M56" i="3"/>
  <c r="P56" i="3"/>
  <c r="K57" i="3"/>
  <c r="M57" i="3"/>
  <c r="P57" i="3"/>
  <c r="K58" i="3"/>
  <c r="M58" i="3"/>
  <c r="P58" i="3"/>
  <c r="K59" i="3"/>
  <c r="M59" i="3"/>
  <c r="P59" i="3"/>
  <c r="K60" i="3"/>
  <c r="M60" i="3"/>
  <c r="P60" i="3"/>
  <c r="K61" i="3"/>
  <c r="M61" i="3"/>
  <c r="P61" i="3"/>
  <c r="K62" i="3"/>
  <c r="M62" i="3"/>
  <c r="P62" i="3"/>
  <c r="K63" i="3"/>
  <c r="M63" i="3"/>
  <c r="P63" i="3"/>
  <c r="K64" i="3"/>
  <c r="M64" i="3"/>
  <c r="P64" i="3"/>
  <c r="K65" i="3"/>
  <c r="M65" i="3"/>
  <c r="P65" i="3"/>
  <c r="K66" i="3"/>
  <c r="M66" i="3"/>
  <c r="P66" i="3"/>
  <c r="K67" i="3"/>
  <c r="M67" i="3"/>
  <c r="P67" i="3"/>
  <c r="K68" i="3"/>
  <c r="M68" i="3"/>
  <c r="P68" i="3"/>
  <c r="K69" i="3"/>
  <c r="M69" i="3"/>
  <c r="P69" i="3"/>
  <c r="K70" i="3"/>
  <c r="M70" i="3"/>
  <c r="P70" i="3"/>
  <c r="K71" i="3"/>
  <c r="M71" i="3"/>
  <c r="P71" i="3"/>
  <c r="K72" i="3"/>
  <c r="M72" i="3"/>
  <c r="P72" i="3"/>
  <c r="K73" i="3"/>
  <c r="M73" i="3"/>
  <c r="P73" i="3"/>
  <c r="M74" i="3"/>
  <c r="P74" i="3"/>
  <c r="K75" i="3"/>
  <c r="M75" i="3"/>
  <c r="P75" i="3"/>
  <c r="K76" i="3"/>
  <c r="M76" i="3"/>
  <c r="P76" i="3"/>
  <c r="K77" i="3"/>
  <c r="M77" i="3"/>
  <c r="P77" i="3"/>
  <c r="K78" i="3"/>
  <c r="M78" i="3"/>
  <c r="P78" i="3"/>
  <c r="K79" i="3"/>
  <c r="M79" i="3"/>
  <c r="P79" i="3"/>
  <c r="K80" i="3"/>
  <c r="M80" i="3"/>
  <c r="P80" i="3"/>
  <c r="K81" i="3"/>
  <c r="M81" i="3"/>
  <c r="P81" i="3"/>
  <c r="K82" i="3"/>
  <c r="M82" i="3"/>
  <c r="P82" i="3"/>
  <c r="K83" i="3"/>
  <c r="M83" i="3"/>
  <c r="P83" i="3"/>
  <c r="K84" i="3"/>
  <c r="M84" i="3"/>
  <c r="P84" i="3"/>
  <c r="K85" i="3"/>
  <c r="M85" i="3"/>
  <c r="P85" i="3"/>
  <c r="K86" i="3"/>
  <c r="M86" i="3"/>
  <c r="P86" i="3"/>
  <c r="K87" i="3"/>
  <c r="M87" i="3"/>
  <c r="P87" i="3"/>
  <c r="K88" i="3"/>
  <c r="M88" i="3"/>
  <c r="P88" i="3"/>
  <c r="K89" i="3"/>
  <c r="M89" i="3"/>
  <c r="P89" i="3"/>
  <c r="K90" i="3"/>
  <c r="M90" i="3"/>
  <c r="P90" i="3"/>
  <c r="K91" i="3"/>
  <c r="M91" i="3"/>
  <c r="P91" i="3"/>
  <c r="K92" i="3"/>
  <c r="M92" i="3"/>
  <c r="P92" i="3"/>
  <c r="K93" i="3"/>
  <c r="M93" i="3"/>
  <c r="P93" i="3"/>
  <c r="K94" i="3"/>
  <c r="P94" i="3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W73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4" i="1"/>
  <c r="W5" i="1"/>
  <c r="W3" i="1"/>
  <c r="P29" i="1" a="1"/>
  <c r="P29" i="1"/>
  <c r="Q29" i="1" s="1"/>
  <c r="P94" i="1" a="1"/>
  <c r="P94" i="1"/>
  <c r="Q94" i="1" s="1"/>
  <c r="P93" i="1" a="1"/>
  <c r="P93" i="1"/>
  <c r="Q93" i="1" s="1"/>
  <c r="P92" i="1" a="1"/>
  <c r="P92" i="1"/>
  <c r="Q92" i="1" s="1"/>
  <c r="P91" i="1" a="1"/>
  <c r="P91" i="1"/>
  <c r="Q91" i="1" s="1"/>
  <c r="P89" i="1" a="1"/>
  <c r="P89" i="1"/>
  <c r="Q89" i="1" s="1"/>
  <c r="P88" i="1" a="1"/>
  <c r="P88" i="1"/>
  <c r="Q88" i="1" s="1"/>
  <c r="P87" i="1" a="1"/>
  <c r="P87" i="1"/>
  <c r="Q87" i="1" s="1"/>
  <c r="P86" i="1" a="1"/>
  <c r="P86" i="1"/>
  <c r="Q86" i="1" s="1"/>
  <c r="P85" i="1" a="1"/>
  <c r="P85" i="1"/>
  <c r="Q85" i="1" s="1"/>
  <c r="P84" i="1" a="1"/>
  <c r="P84" i="1"/>
  <c r="Q84" i="1" s="1"/>
  <c r="P83" i="1" a="1"/>
  <c r="P83" i="1"/>
  <c r="Q83" i="1" s="1"/>
  <c r="P82" i="1" a="1"/>
  <c r="P82" i="1"/>
  <c r="Q82" i="1" s="1"/>
  <c r="P81" i="1" a="1"/>
  <c r="P81" i="1"/>
  <c r="Q81" i="1" s="1"/>
  <c r="P80" i="1" a="1"/>
  <c r="P80" i="1"/>
  <c r="Q80" i="1" s="1"/>
  <c r="P79" i="1" a="1"/>
  <c r="P79" i="1"/>
  <c r="Q79" i="1" s="1"/>
  <c r="P78" i="1" a="1"/>
  <c r="P78" i="1"/>
  <c r="Q78" i="1" s="1"/>
  <c r="P77" i="1" a="1"/>
  <c r="P77" i="1"/>
  <c r="Q77" i="1" s="1"/>
  <c r="P76" i="1" a="1"/>
  <c r="P76" i="1"/>
  <c r="Q76" i="1" s="1"/>
  <c r="P75" i="1" a="1"/>
  <c r="P75" i="1"/>
  <c r="Q75" i="1" s="1"/>
  <c r="P74" i="1" a="1"/>
  <c r="P74" i="1"/>
  <c r="Q74" i="1" s="1"/>
  <c r="P73" i="1" a="1"/>
  <c r="P73" i="1"/>
  <c r="Q73" i="1" s="1"/>
  <c r="P72" i="1" a="1"/>
  <c r="P72" i="1"/>
  <c r="Q72" i="1" s="1"/>
  <c r="P71" i="1" a="1"/>
  <c r="P71" i="1"/>
  <c r="Q71" i="1" s="1"/>
  <c r="P70" i="1" a="1"/>
  <c r="P70" i="1"/>
  <c r="Q70" i="1" s="1"/>
  <c r="P67" i="1" a="1"/>
  <c r="P67" i="1"/>
  <c r="Q67" i="1" s="1"/>
  <c r="P65" i="1" a="1"/>
  <c r="P65" i="1"/>
  <c r="Q65" i="1" s="1"/>
  <c r="P64" i="1" a="1"/>
  <c r="P64" i="1"/>
  <c r="Q64" i="1" s="1"/>
  <c r="P63" i="1" a="1"/>
  <c r="P63" i="1"/>
  <c r="Q63" i="1" s="1"/>
  <c r="P62" i="1" a="1"/>
  <c r="P62" i="1"/>
  <c r="Q62" i="1" s="1"/>
  <c r="P61" i="1" a="1"/>
  <c r="P61" i="1"/>
  <c r="Q61" i="1" s="1"/>
  <c r="P60" i="1" a="1"/>
  <c r="P60" i="1"/>
  <c r="Q60" i="1" s="1"/>
  <c r="P55" i="1" a="1"/>
  <c r="P55" i="1"/>
  <c r="Q55" i="1" s="1"/>
  <c r="P53" i="1" a="1"/>
  <c r="P53" i="1"/>
  <c r="Q53" i="1" s="1"/>
  <c r="P52" i="1" a="1"/>
  <c r="P52" i="1"/>
  <c r="Q52" i="1" s="1"/>
  <c r="P46" i="1" a="1"/>
  <c r="P46" i="1"/>
  <c r="Q46" i="1" s="1"/>
  <c r="P45" i="1" a="1"/>
  <c r="P45" i="1"/>
  <c r="Q45" i="1" s="1"/>
  <c r="P44" i="1" a="1"/>
  <c r="P44" i="1"/>
  <c r="Q44" i="1" s="1"/>
  <c r="P43" i="1" a="1"/>
  <c r="P43" i="1"/>
  <c r="Q43" i="1" s="1"/>
  <c r="P41" i="1" a="1"/>
  <c r="P41" i="1"/>
  <c r="Q41" i="1" s="1"/>
  <c r="P40" i="1" a="1"/>
  <c r="P40" i="1"/>
  <c r="Q40" i="1" s="1"/>
  <c r="P38" i="1" a="1"/>
  <c r="P38" i="1"/>
  <c r="Q38" i="1" s="1"/>
  <c r="P36" i="1" a="1"/>
  <c r="P36" i="1"/>
  <c r="Q36" i="1" s="1"/>
  <c r="P33" i="1" a="1"/>
  <c r="P33" i="1"/>
  <c r="Q33" i="1" s="1"/>
  <c r="P32" i="1" a="1"/>
  <c r="P32" i="1"/>
  <c r="Q32" i="1" s="1"/>
  <c r="P31" i="1" a="1"/>
  <c r="P31" i="1"/>
  <c r="Q31" i="1" s="1"/>
  <c r="P28" i="1" a="1"/>
  <c r="P28" i="1"/>
  <c r="Q28" i="1" s="1"/>
  <c r="P27" i="1" a="1"/>
  <c r="P27" i="1"/>
  <c r="Q27" i="1" s="1"/>
  <c r="P26" i="1" a="1"/>
  <c r="P26" i="1"/>
  <c r="Q26" i="1" s="1"/>
  <c r="P25" i="1" a="1"/>
  <c r="P25" i="1"/>
  <c r="Q25" i="1" s="1"/>
  <c r="P24" i="1" a="1"/>
  <c r="P24" i="1"/>
  <c r="Q24" i="1" s="1"/>
  <c r="P23" i="1" a="1"/>
  <c r="P23" i="1"/>
  <c r="Q23" i="1" s="1"/>
  <c r="P21" i="1" a="1"/>
  <c r="P21" i="1"/>
  <c r="Q21" i="1" s="1"/>
  <c r="P20" i="1" a="1"/>
  <c r="P20" i="1"/>
  <c r="P19" i="1" a="1"/>
  <c r="P19" i="1"/>
  <c r="Q19" i="1" s="1"/>
  <c r="P17" i="1" a="1"/>
  <c r="P17" i="1"/>
  <c r="Q17" i="1" s="1"/>
  <c r="P15" i="1" a="1"/>
  <c r="P15" i="1"/>
  <c r="Q15" i="1" s="1"/>
  <c r="P13" i="1" a="1"/>
  <c r="P13" i="1"/>
  <c r="Q13" i="1" s="1"/>
  <c r="P12" i="1" a="1"/>
  <c r="P12" i="1"/>
  <c r="Q12" i="1" s="1"/>
  <c r="P11" i="1" a="1"/>
  <c r="P11" i="1"/>
  <c r="Q11" i="1" s="1"/>
  <c r="P8" i="1" a="1"/>
  <c r="P8" i="1"/>
  <c r="Q8" i="1" s="1"/>
  <c r="P7" i="1" a="1"/>
  <c r="P7" i="1"/>
  <c r="Q7" i="1" s="1"/>
  <c r="P3" i="1" a="1"/>
  <c r="P3" i="1" s="1"/>
  <c r="Q3" i="1" s="1"/>
  <c r="P4" i="1" a="1"/>
  <c r="P4" i="1" s="1"/>
  <c r="Q4" i="1" s="1"/>
  <c r="P5" i="1" a="1"/>
  <c r="P5" i="1" s="1"/>
  <c r="Q5" i="1" s="1"/>
  <c r="P6" i="1" a="1"/>
  <c r="P6" i="1" s="1"/>
  <c r="Q6" i="1" s="1"/>
  <c r="H5" i="3" l="1"/>
  <c r="H111" i="3"/>
  <c r="H110" i="3"/>
  <c r="H7" i="3"/>
  <c r="H113" i="3"/>
  <c r="H112" i="3"/>
  <c r="H109" i="3"/>
  <c r="H6" i="3"/>
  <c r="H115" i="3"/>
  <c r="Q20" i="1"/>
  <c r="R102" i="1"/>
  <c r="R101" i="1"/>
  <c r="R100" i="1"/>
  <c r="R99" i="1"/>
  <c r="R98" i="1"/>
  <c r="R1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tc={B97D12BD-DF3C-4D8B-9A37-8B845572F183}</author>
  </authors>
  <commentList>
    <comment ref="F2" authorId="0" shapeId="0" xr:uid="{B97D12BD-DF3C-4D8B-9A37-8B845572F18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Can't be deleted cause it'll fuck up the reference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<sst xmlns="http://schemas.openxmlformats.org/spreadsheetml/2006/main" count="1780" uniqueCount="282">
  <si>
    <t>RecordedDate</t>
  </si>
  <si>
    <t>ResponseId</t>
  </si>
  <si>
    <t>RecipientLastName</t>
  </si>
  <si>
    <t>UserLanguage</t>
  </si>
  <si>
    <t>Q1 - Categorical</t>
  </si>
  <si>
    <t xml:space="preserve">Q2 - Categorical </t>
  </si>
  <si>
    <t xml:space="preserve">Q3 - Categorical </t>
  </si>
  <si>
    <t>Q4</t>
  </si>
  <si>
    <t>Q5</t>
  </si>
  <si>
    <t xml:space="preserve">Q6 - Categorical </t>
  </si>
  <si>
    <t xml:space="preserve">Q7 - Categorical </t>
  </si>
  <si>
    <t>Q7 (continued)</t>
  </si>
  <si>
    <t>Q8</t>
  </si>
  <si>
    <t xml:space="preserve">Q10 - Continouous </t>
  </si>
  <si>
    <t>Q13</t>
  </si>
  <si>
    <t>Q14</t>
  </si>
  <si>
    <t xml:space="preserve">Q16 - Continouous </t>
  </si>
  <si>
    <t>Q18 - Continuous</t>
  </si>
  <si>
    <t>Q19 - Continuous</t>
  </si>
  <si>
    <t>Q26_1</t>
  </si>
  <si>
    <t>Q26_2</t>
  </si>
  <si>
    <t>Q26_3</t>
  </si>
  <si>
    <t>Q26_4</t>
  </si>
  <si>
    <t>Q17</t>
  </si>
  <si>
    <t xml:space="preserve">Q20 - Continouous </t>
  </si>
  <si>
    <t>Recorded Date</t>
  </si>
  <si>
    <t>Response ID</t>
  </si>
  <si>
    <t>Recipient Last Name</t>
  </si>
  <si>
    <t>User Language</t>
  </si>
  <si>
    <t>How old are you?</t>
  </si>
  <si>
    <t>What is your gender?</t>
  </si>
  <si>
    <t>Code #</t>
  </si>
  <si>
    <t>What is your race?</t>
  </si>
  <si>
    <t>What is your primary zip/postal code?</t>
  </si>
  <si>
    <t>How did you hear about DU? - Selected Choice</t>
  </si>
  <si>
    <t>What year in college are you?</t>
  </si>
  <si>
    <t>What is your major?</t>
  </si>
  <si>
    <t>Complimentary College</t>
  </si>
  <si>
    <t>Do you feel a sense of community at DU? Please rate your level of satisfaction on a scale from 1 to 10 (1 = Not at all satisfied, 10 = Very satisfied).</t>
  </si>
  <si>
    <t>On a scale of 1-5 how involved are you in campus activities? Please rate your involvement on a scale from 1 to 5 (1 = Not at all involved, 10 = Very involved).</t>
  </si>
  <si>
    <t>How many DU-Sponsored events have you attended this academic year?</t>
  </si>
  <si>
    <t>How many hours a week do you dedicate to finding a job?</t>
  </si>
  <si>
    <t>How confident do you feel about planning your future or discovering your purpose because of your time at DU?</t>
  </si>
  <si>
    <t>What parts of the 4D Experience will you take with you when you graduate? (Select all that apply)</t>
  </si>
  <si>
    <t>Rank how DU has supported your overall wellbeing (emotionally, physically, mentally)?</t>
  </si>
  <si>
    <t>To what degree has DU helped shape your character, values, or sense of who you are?</t>
  </si>
  <si>
    <t>Code #: Likehert (1-4)</t>
  </si>
  <si>
    <t>Rank the 4D dimensions in order of personal importance. - Character</t>
  </si>
  <si>
    <t>Rank the 4D dimensions in order of personal importance. - Well-being</t>
  </si>
  <si>
    <t>Rank the 4D dimensions in order of personal importance. - Intellectual Growth</t>
  </si>
  <si>
    <t>Rank the 4D dimensions in order of personal importance. - Lives of Purpose</t>
  </si>
  <si>
    <t>On a scale of 1 to 4, how would you rate the 4D Experience? (1 = Not at all satisfied, 4 = Very satisfied)</t>
  </si>
  <si>
    <t>Rank how much you care about the 4D Experience</t>
  </si>
  <si>
    <t>R_54oaAUYPPoqZPNu</t>
  </si>
  <si>
    <t>EN</t>
  </si>
  <si>
    <t>Male</t>
  </si>
  <si>
    <t>White/Caucasian (Including MENA)</t>
  </si>
  <si>
    <t>High school Counselor or Teacher</t>
  </si>
  <si>
    <t xml:space="preserve">Sophomore </t>
  </si>
  <si>
    <t>Finance</t>
  </si>
  <si>
    <t>Extremely Confident</t>
  </si>
  <si>
    <t>Character,Well-Being,Intellectual Growth,Lives of Purpose</t>
  </si>
  <si>
    <t>Very Much</t>
  </si>
  <si>
    <t>Not at all</t>
  </si>
  <si>
    <t>R_5z6X077OopriQtj</t>
  </si>
  <si>
    <t>Google Search</t>
  </si>
  <si>
    <t>Sophomore</t>
  </si>
  <si>
    <t>Very Confident</t>
  </si>
  <si>
    <t>Slightly</t>
  </si>
  <si>
    <t>R_38XWlfmw346AtLX</t>
  </si>
  <si>
    <t>Female</t>
  </si>
  <si>
    <t>Family Member</t>
  </si>
  <si>
    <t>Freshman</t>
  </si>
  <si>
    <t>BIA</t>
  </si>
  <si>
    <t>Well-Being,Intellectual Growth</t>
  </si>
  <si>
    <t>R_7HNsELILkOQC06J</t>
  </si>
  <si>
    <t>Hospitality Management</t>
  </si>
  <si>
    <t>Slightly Confident</t>
  </si>
  <si>
    <t>Intellectual Growth</t>
  </si>
  <si>
    <t>R_61UmbhR9swdWoMh</t>
  </si>
  <si>
    <t>College Fair or Event</t>
  </si>
  <si>
    <t>Junior</t>
  </si>
  <si>
    <t>Physiology</t>
  </si>
  <si>
    <t>more than 10</t>
  </si>
  <si>
    <t>Character,Well-Being</t>
  </si>
  <si>
    <t>R_3TgxEM5K7rW6N45</t>
  </si>
  <si>
    <t>Computer Science</t>
  </si>
  <si>
    <t>Intellectual Growth,Lives of Purpose</t>
  </si>
  <si>
    <t>R_1qvFFMgOSqrm0yz</t>
  </si>
  <si>
    <t>I'm from Colorado/ Grew up near Denver</t>
  </si>
  <si>
    <t xml:space="preserve">Marketing </t>
  </si>
  <si>
    <t>Daniels College of Business</t>
  </si>
  <si>
    <t>R_3mj5t4zZIER7OBX</t>
  </si>
  <si>
    <t>Friend</t>
  </si>
  <si>
    <t>Senior</t>
  </si>
  <si>
    <t>Well-Being</t>
  </si>
  <si>
    <t>R_3qrIxrH99QLljLT</t>
  </si>
  <si>
    <t>Psychology</t>
  </si>
  <si>
    <t>R_54o5GdX2tCN6HuK</t>
  </si>
  <si>
    <t>TikTok</t>
  </si>
  <si>
    <t>Finance &amp; Accounting</t>
  </si>
  <si>
    <t>Very much</t>
  </si>
  <si>
    <t>R_7XgKPNmWwd0W0ud</t>
  </si>
  <si>
    <t>Psychology &amp; Economics</t>
  </si>
  <si>
    <t>R_5PQnYfzqO9bS8p3</t>
  </si>
  <si>
    <t>Hispanic or Latino</t>
  </si>
  <si>
    <t xml:space="preserve">Accounting </t>
  </si>
  <si>
    <t>Extremely</t>
  </si>
  <si>
    <t>R_1CDfBSGjftTU2wA</t>
  </si>
  <si>
    <t>Physiology in health and disease</t>
  </si>
  <si>
    <t>Character,Intellectual Growth</t>
  </si>
  <si>
    <t>R_1rPFJImcTWu0hxm</t>
  </si>
  <si>
    <t>Asian</t>
  </si>
  <si>
    <t xml:space="preserve">Molecular biology </t>
  </si>
  <si>
    <t>Natural Sciences &amp; Mathematics</t>
  </si>
  <si>
    <t>R_1RfG5DNwpiHb5sF</t>
  </si>
  <si>
    <t>Mechanical engineering</t>
  </si>
  <si>
    <t>R_3ldsShJW94QvvW1</t>
  </si>
  <si>
    <t>Ecology and Biodiversity</t>
  </si>
  <si>
    <t>Not at all Confident</t>
  </si>
  <si>
    <t>R_6hZC1M6TwqSF48V</t>
  </si>
  <si>
    <t>Communication and Media</t>
  </si>
  <si>
    <t>R_777RwHjVaLrRFrX</t>
  </si>
  <si>
    <t>Business Information &amp; Analytics</t>
  </si>
  <si>
    <t>R_7n0Xlz2ZYPiV5Vb</t>
  </si>
  <si>
    <t>Accounting</t>
  </si>
  <si>
    <t>Lives of Purpose</t>
  </si>
  <si>
    <t>R_1Yj81uMrTAGD1Tj</t>
  </si>
  <si>
    <t xml:space="preserve">Physiology </t>
  </si>
  <si>
    <t xml:space="preserve">Natural Sciences &amp; Mathematics </t>
  </si>
  <si>
    <t>R_51GARMikdgIIuKx</t>
  </si>
  <si>
    <t>Environmental Science</t>
  </si>
  <si>
    <t>R_5lXM8avpJraqvsH</t>
  </si>
  <si>
    <t>Biology</t>
  </si>
  <si>
    <t>Character,Intellectual Growth,Lives of Purpose</t>
  </si>
  <si>
    <t>R_6O9DYEaYaH9k8Tf</t>
  </si>
  <si>
    <t>R_3rWMQahMPNUvDUZ</t>
  </si>
  <si>
    <t>R_1JhdE6hABKINquX</t>
  </si>
  <si>
    <t>Journalism and Finance</t>
  </si>
  <si>
    <t>R_3TMphXA5CjmSrS0</t>
  </si>
  <si>
    <t>Communciations</t>
  </si>
  <si>
    <t>R_58ryoe5dPaZI2gV</t>
  </si>
  <si>
    <t>R_1wS3IXYAV5IH6w9</t>
  </si>
  <si>
    <t xml:space="preserve">Public policy </t>
  </si>
  <si>
    <t>Korbel School of International Studies</t>
  </si>
  <si>
    <t>R_1imuPQ3fcRovIxl</t>
  </si>
  <si>
    <t>Character</t>
  </si>
  <si>
    <t>R_6R2flD5lDtF6x1e</t>
  </si>
  <si>
    <t>R_5MfftD4Y4V9EPDN</t>
  </si>
  <si>
    <t>Two or more races</t>
  </si>
  <si>
    <t>Real Estate</t>
  </si>
  <si>
    <t>R_3EyevcqGlHVitqV</t>
  </si>
  <si>
    <t xml:space="preserve">Economics and Sociology </t>
  </si>
  <si>
    <t>R_6D0XIF8jIatzg83</t>
  </si>
  <si>
    <t xml:space="preserve">Economics </t>
  </si>
  <si>
    <t>R_1ru8c00dP3QyZBo</t>
  </si>
  <si>
    <t>R_3dAReMb7xcqoXLN</t>
  </si>
  <si>
    <t>R_6n33aTWC9pqYzUT</t>
  </si>
  <si>
    <t>Character,Lives of Purpose</t>
  </si>
  <si>
    <t>R_3DShB1hl1BxMRMV</t>
  </si>
  <si>
    <t xml:space="preserve">Psychology </t>
  </si>
  <si>
    <t>Department of Psychology</t>
  </si>
  <si>
    <t>R_51gYxvPWlqQVrhW</t>
  </si>
  <si>
    <t>Other</t>
  </si>
  <si>
    <t>Environmental science</t>
  </si>
  <si>
    <t>R_60UY3iW5ZX681NI</t>
  </si>
  <si>
    <t>Journalism and International Studies</t>
  </si>
  <si>
    <t>R_3UYD8vZmNEJOdc3</t>
  </si>
  <si>
    <t>R_5pVHTpRBqIqJevv</t>
  </si>
  <si>
    <t>R_6M063ZPh0quX5V9</t>
  </si>
  <si>
    <t>R_1jHOHFS2hF6H32F</t>
  </si>
  <si>
    <t>R_5PbMFoa2FoQdAha</t>
  </si>
  <si>
    <t>Hospitality management</t>
  </si>
  <si>
    <t>R_7cCSGQY77e3T2Fc</t>
  </si>
  <si>
    <t xml:space="preserve">Business Management </t>
  </si>
  <si>
    <t>R_1VOo4YdSwD7Yc35</t>
  </si>
  <si>
    <t>R_7dzFyYxRjPEd2QE</t>
  </si>
  <si>
    <t xml:space="preserve">Management </t>
  </si>
  <si>
    <t>R_5NUN0Om95C8jJru</t>
  </si>
  <si>
    <t>R_139NTo7cR6gznIB</t>
  </si>
  <si>
    <t>R_5NAm8PdCZfTpmBX</t>
  </si>
  <si>
    <t>Political Science</t>
  </si>
  <si>
    <t>R_7dLLqjrVUFhn0fQ</t>
  </si>
  <si>
    <t>Black or African American</t>
  </si>
  <si>
    <t>Gender studies</t>
  </si>
  <si>
    <t>R_7EhIs9Y6216xG0u</t>
  </si>
  <si>
    <t>Instagram</t>
  </si>
  <si>
    <t>R_6SiZNxOVIcu2Sfa</t>
  </si>
  <si>
    <t>R_7AYzA8yojVim8P7</t>
  </si>
  <si>
    <t xml:space="preserve">Emergent Digital Practices </t>
  </si>
  <si>
    <t>EDP</t>
  </si>
  <si>
    <t>R_3nfkT83TsuJtkFA</t>
  </si>
  <si>
    <t>R_3cB2vJF3rmbllYJ</t>
  </si>
  <si>
    <t xml:space="preserve">Environmental Science </t>
  </si>
  <si>
    <t>R_6OGbWzRrOaligbD</t>
  </si>
  <si>
    <t>Mail/ Postcard</t>
  </si>
  <si>
    <t xml:space="preserve">International studies </t>
  </si>
  <si>
    <t>R_1lJiz6JFfYfo7Vw</t>
  </si>
  <si>
    <t>International Studies</t>
  </si>
  <si>
    <t>R_57cY7bMk2XAzYNC</t>
  </si>
  <si>
    <t>Interational Business</t>
  </si>
  <si>
    <t>R_1pbYuGK8EZb8Pu9</t>
  </si>
  <si>
    <t>R_6HTaMs3IWSGoLWC</t>
  </si>
  <si>
    <t>Molecular Biology</t>
  </si>
  <si>
    <t>Character,Well-Being,Intellectual Growth</t>
  </si>
  <si>
    <t>R_74c8h16R9h5ysMy</t>
  </si>
  <si>
    <t>R_7jpkiSGbE1eY4ys</t>
  </si>
  <si>
    <t>R_6rIm8ermsfcbJyT</t>
  </si>
  <si>
    <t xml:space="preserve">Hospitality Management </t>
  </si>
  <si>
    <t>R_5ZtyOrARrD9Lrfb</t>
  </si>
  <si>
    <t>Hospitality Mgmt</t>
  </si>
  <si>
    <t>R_7dKEgkgGmsYAWtp</t>
  </si>
  <si>
    <t xml:space="preserve">Ecology and biodiversity </t>
  </si>
  <si>
    <t>R_7MSsYyfFv3Dzrnu</t>
  </si>
  <si>
    <t xml:space="preserve">Molecular Biology </t>
  </si>
  <si>
    <t>R_5pf2l76keNPHkzN</t>
  </si>
  <si>
    <t>International Business</t>
  </si>
  <si>
    <t>R_7TGlHyBuCqZcbcS</t>
  </si>
  <si>
    <t>Math</t>
  </si>
  <si>
    <t>R_7CJUP6ztzFFCnbO</t>
  </si>
  <si>
    <t>R_1vMY54m0foGq8N3</t>
  </si>
  <si>
    <t>Business Analytics</t>
  </si>
  <si>
    <t>R_6eOkxkAXQWZwolp</t>
  </si>
  <si>
    <t>Anthropology</t>
  </si>
  <si>
    <t xml:space="preserve">Very Confident </t>
  </si>
  <si>
    <t>R_7hExWsWD0J8UYGR</t>
  </si>
  <si>
    <t>R_799Dgbv72lSqEVP</t>
  </si>
  <si>
    <t>R_7P6Ojg8gaoX68mt</t>
  </si>
  <si>
    <t>R_7v1jMxtSyvGGbdr</t>
  </si>
  <si>
    <t>R_7w6lEqVPHAUqQWW</t>
  </si>
  <si>
    <t>R_1CdKP0hczc7Mfo0</t>
  </si>
  <si>
    <t>Chemistry</t>
  </si>
  <si>
    <t>R_3TEfkzxtdnD902d</t>
  </si>
  <si>
    <t>R_1Rrswa1564UQc0U</t>
  </si>
  <si>
    <t>R_1fIa9og6gIviy3G</t>
  </si>
  <si>
    <t>R_3yeaTUQFgpCeFaK</t>
  </si>
  <si>
    <t>R_7yflYoszUGStyGq</t>
  </si>
  <si>
    <t>R_7wGMSsClRE19fqY</t>
  </si>
  <si>
    <t>R_3g3EeqQDZG5Y4Dv</t>
  </si>
  <si>
    <t>R_5mefHIjx8nBj5Fb</t>
  </si>
  <si>
    <t>R_7fCrIBhmRqn7oKt</t>
  </si>
  <si>
    <t>Integrated Sciences</t>
  </si>
  <si>
    <t>R_3d9T11fWVCpFSJb</t>
  </si>
  <si>
    <t>R_751PL2itLOMIh2N</t>
  </si>
  <si>
    <t>R_7un6lpbxUHHAKWt</t>
  </si>
  <si>
    <t>Sophmore</t>
  </si>
  <si>
    <t>R_5pXwb7ktfXzJYsN</t>
  </si>
  <si>
    <t>R_6Y6jO1FSGOmIwIF</t>
  </si>
  <si>
    <t>Count:</t>
  </si>
  <si>
    <t>--------------------------------------------------------</t>
  </si>
  <si>
    <t>Arts, Humanities &amp; Social Sciences</t>
  </si>
  <si>
    <t>Engineering &amp; Computer Science</t>
  </si>
  <si>
    <t>total</t>
  </si>
  <si>
    <t>Age - Categorical</t>
  </si>
  <si>
    <t>Gender - Categorical</t>
  </si>
  <si>
    <t xml:space="preserve">Race - Categorical </t>
  </si>
  <si>
    <t xml:space="preserve">Year in College - Categorical </t>
  </si>
  <si>
    <t xml:space="preserve">Major - Categorical </t>
  </si>
  <si>
    <t>Campus Activities - Continouous  1</t>
  </si>
  <si>
    <t>Future Purpose - Continouous 2</t>
  </si>
  <si>
    <t>Wellbeing - Continouous 3</t>
  </si>
  <si>
    <t>Character - Continouous 4</t>
  </si>
  <si>
    <t>4D Experience - Continouous  5</t>
  </si>
  <si>
    <t>What is your major? - Complimentary College</t>
  </si>
  <si>
    <t>Enviornmental engineering</t>
  </si>
  <si>
    <t>History</t>
  </si>
  <si>
    <t xml:space="preserve">Arts, Humanities &amp; Social Sciences </t>
  </si>
  <si>
    <t>Hospitality</t>
  </si>
  <si>
    <t>Foreign Policy</t>
  </si>
  <si>
    <t>Psych &amp; spanish</t>
  </si>
  <si>
    <t>Interational studies</t>
  </si>
  <si>
    <t>English</t>
  </si>
  <si>
    <t>Asian Studies</t>
  </si>
  <si>
    <t>Philosophy</t>
  </si>
  <si>
    <t>Global Peace and Security</t>
  </si>
  <si>
    <t>Gloabl Governance and Human Rights</t>
  </si>
  <si>
    <t>Global Governance and Human Rights</t>
  </si>
  <si>
    <t xml:space="preserve">Gloabal Environmental Sustainability </t>
  </si>
  <si>
    <t>Game Development</t>
  </si>
  <si>
    <t>International Politics</t>
  </si>
  <si>
    <t>Tech and Global Affairs</t>
  </si>
  <si>
    <t xml:space="preserve">Schools Count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</si>
</sst>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1D35"/>
      <name val="Aptos Narrow"/>
      <scheme val="minor"/>
    </font>
    <font>
      <b/>
      <sz val="12"/>
      <color rgb="FF98012E"/>
      <name val="Aptos Narrow"/>
      <scheme val="minor"/>
    </font>
    <font>
      <sz val="12"/>
      <color rgb="FF1F1F1F"/>
      <name val="Aptos Narrow"/>
      <scheme val="minor"/>
    </font>
    <font>
      <sz val="12"/>
      <color rgb="FF1F1F1F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1D35"/>
      <name val="Aptos Narrow"/>
      <family val="2"/>
      <scheme val="minor"/>
    </font>
    <font>
      <sz val="11"/>
      <color rgb="FF242424"/>
      <name val="Aptos Narrow"/>
    </font>
    <font>
      <b/>
      <sz val="12"/>
      <color rgb="FF000000"/>
      <name val="Aptos Narrow"/>
    </font>
    <font>
      <sz val="12"/>
      <color rgb="FF00000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0" fillId="33" borderId="0" xfId="0" applyFill="1"/>
    <xf numFmtId="0" fontId="19" fillId="0" borderId="0" xfId="0" applyFont="1"/>
    <xf numFmtId="0" fontId="19" fillId="33" borderId="0" xfId="0" applyFont="1" applyFill="1"/>
    <xf numFmtId="22" fontId="19" fillId="0" borderId="0" xfId="0" applyNumberFormat="1" applyFont="1"/>
    <xf numFmtId="16" fontId="19" fillId="0" borderId="0" xfId="0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9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wrapText="1"/>
    </xf>
    <xf numFmtId="0" fontId="19" fillId="34" borderId="0" xfId="0" applyFont="1" applyFill="1"/>
    <xf numFmtId="0" fontId="16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9" fillId="35" borderId="0" xfId="0" applyFont="1" applyFill="1"/>
    <xf numFmtId="0" fontId="0" fillId="35" borderId="0" xfId="0" applyFill="1"/>
    <xf numFmtId="0" fontId="26" fillId="0" borderId="0" xfId="0" applyFont="1"/>
    <xf numFmtId="0" fontId="20" fillId="34" borderId="0" xfId="0" applyFont="1" applyFill="1"/>
    <xf numFmtId="0" fontId="19" fillId="0" borderId="0" xfId="0" quotePrefix="1" applyFont="1"/>
    <xf numFmtId="0" fontId="0" fillId="0" borderId="0" xfId="0" quotePrefix="1"/>
    <xf numFmtId="0" fontId="19" fillId="0" borderId="0" xfId="0" applyFont="1" applyAlignment="1">
      <alignment horizontal="left"/>
    </xf>
    <xf numFmtId="0" fontId="0" fillId="36" borderId="0" xfId="0" applyFill="1"/>
    <xf numFmtId="0" fontId="0" fillId="33" borderId="10" xfId="0" applyFill="1" applyBorder="1"/>
    <xf numFmtId="0" fontId="0" fillId="33" borderId="11" xfId="0" applyFill="1" applyBorder="1"/>
    <xf numFmtId="0" fontId="0" fillId="0" borderId="12" xfId="0" applyBorder="1"/>
    <xf numFmtId="0" fontId="0" fillId="0" borderId="13" xfId="0" applyBorder="1"/>
    <xf numFmtId="0" fontId="18" fillId="0" borderId="13" xfId="0" applyFont="1" applyBorder="1"/>
    <xf numFmtId="0" fontId="0" fillId="0" borderId="14" xfId="0" applyBorder="1"/>
    <xf numFmtId="0" fontId="0" fillId="0" borderId="15" xfId="0" applyBorder="1"/>
    <xf numFmtId="0" fontId="27" fillId="33" borderId="16" xfId="0" applyFont="1" applyFill="1" applyBorder="1"/>
    <xf numFmtId="0" fontId="0" fillId="0" borderId="17" xfId="0" applyBorder="1"/>
    <xf numFmtId="0" fontId="0" fillId="0" borderId="18" xfId="0" applyBorder="1"/>
    <xf numFmtId="0" fontId="16" fillId="0" borderId="14" xfId="0" applyFont="1" applyBorder="1"/>
    <xf numFmtId="0" fontId="28" fillId="0" borderId="18" xfId="0" applyFont="1" applyBorder="1"/>
    <xf numFmtId="0" fontId="16" fillId="0" borderId="15" xfId="0" applyFont="1" applyBorder="1"/>
    <xf numFmtId="0" fontId="19" fillId="0" borderId="17" xfId="0" applyFont="1" applyBorder="1"/>
    <xf numFmtId="0" fontId="16" fillId="0" borderId="18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9" fillId="0" borderId="12" xfId="0" applyFont="1" applyBorder="1"/>
    <xf numFmtId="0" fontId="19" fillId="0" borderId="14" xfId="0" applyFont="1" applyBorder="1"/>
    <xf numFmtId="0" fontId="0" fillId="0" borderId="17" xfId="0" applyBorder="1" applyAlignment="1">
      <alignment wrapText="1"/>
    </xf>
    <xf numFmtId="0" fontId="18" fillId="0" borderId="17" xfId="0" applyFont="1" applyBorder="1"/>
    <xf numFmtId="0" fontId="19" fillId="33" borderId="10" xfId="0" applyFont="1" applyFill="1" applyBorder="1"/>
    <xf numFmtId="0" fontId="0" fillId="33" borderId="13" xfId="0" applyFill="1" applyBorder="1"/>
    <xf numFmtId="0" fontId="0" fillId="33" borderId="17" xfId="0" applyFill="1" applyBorder="1"/>
    <xf numFmtId="0" fontId="29" fillId="33" borderId="16" xfId="0" applyFont="1" applyFill="1" applyBorder="1"/>
    <xf numFmtId="0" fontId="0" fillId="0" borderId="16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fia Rivera" id="{4DD421ED-613D-40CB-B66F-3CF58A752C6D}" userId="S::sofia.rivera@du.edu::2dcf51fa-cd3c-46fc-9051-c65ac36011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5-28T00:08:00.47" personId="{4DD421ED-613D-40CB-B66F-3CF58A752C6D}" id="{B97D12BD-DF3C-4D8B-9A37-8B845572F183}">
    <text>Can't be deleted cause it'll fuck up the reference cells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0EEA-E1E1-2D42-B46D-D42CD344DBD8}">
  <dimension ref="A1:AM112"/>
  <sheetViews>
    <sheetView topLeftCell="L80" zoomScale="166" workbookViewId="0">
      <selection activeCell="R105" sqref="R105"/>
    </sheetView>
  </sheetViews>
  <sheetFormatPr baseColWidth="10" defaultColWidth="11" defaultRowHeight="15.75" customHeight="1" x14ac:dyDescent="0.2"/>
  <cols>
    <col min="1" max="1" width="14.33203125" bestFit="1" customWidth="1"/>
    <col min="2" max="2" width="20.6640625" bestFit="1" customWidth="1"/>
    <col min="3" max="3" width="17.6640625" bestFit="1" customWidth="1"/>
    <col min="4" max="4" width="12.6640625" bestFit="1" customWidth="1"/>
    <col min="5" max="5" width="14.6640625" bestFit="1" customWidth="1"/>
    <col min="6" max="6" width="18.6640625" customWidth="1"/>
    <col min="7" max="7" width="14.1640625" customWidth="1"/>
    <col min="8" max="8" width="31.6640625" customWidth="1"/>
    <col min="9" max="9" width="11.6640625" customWidth="1"/>
    <col min="10" max="10" width="31.33203125" bestFit="1" customWidth="1"/>
    <col min="11" max="11" width="38.6640625" bestFit="1" customWidth="1"/>
    <col min="12" max="12" width="25.1640625" bestFit="1" customWidth="1"/>
    <col min="14" max="15" width="31.5" customWidth="1"/>
    <col min="16" max="16" width="31.5" bestFit="1" customWidth="1"/>
    <col min="17" max="17" width="31.5" customWidth="1"/>
    <col min="18" max="18" width="42" customWidth="1"/>
    <col min="19" max="19" width="46" customWidth="1"/>
    <col min="20" max="20" width="26.6640625" customWidth="1"/>
    <col min="21" max="21" width="22.33203125" customWidth="1"/>
    <col min="22" max="22" width="41.6640625" customWidth="1"/>
    <col min="23" max="23" width="49.33203125" customWidth="1"/>
    <col min="24" max="24" width="30" bestFit="1" customWidth="1"/>
    <col min="25" max="25" width="30.1640625" customWidth="1"/>
    <col min="26" max="26" width="37.33203125" customWidth="1"/>
    <col min="27" max="28" width="31.5" customWidth="1"/>
    <col min="29" max="29" width="25.5" customWidth="1"/>
    <col min="30" max="30" width="24.6640625" bestFit="1" customWidth="1"/>
    <col min="31" max="31" width="27.1640625" customWidth="1"/>
    <col min="32" max="32" width="27.6640625" customWidth="1"/>
    <col min="33" max="33" width="34" customWidth="1"/>
    <col min="34" max="34" width="17.6640625" customWidth="1"/>
  </cols>
  <sheetData>
    <row r="1" spans="1:39" ht="16" x14ac:dyDescent="0.2">
      <c r="A1" s="17" t="s">
        <v>0</v>
      </c>
      <c r="B1" s="17" t="s">
        <v>1</v>
      </c>
      <c r="C1" s="17" t="s">
        <v>2</v>
      </c>
      <c r="D1" s="17" t="s">
        <v>3</v>
      </c>
      <c r="E1" t="s">
        <v>4</v>
      </c>
      <c r="F1" t="s">
        <v>5</v>
      </c>
      <c r="G1" s="3"/>
      <c r="H1" t="s">
        <v>6</v>
      </c>
      <c r="I1" s="3"/>
      <c r="J1" s="14" t="s">
        <v>7</v>
      </c>
      <c r="K1" s="20" t="s">
        <v>8</v>
      </c>
      <c r="L1" t="s">
        <v>9</v>
      </c>
      <c r="M1" s="3"/>
      <c r="N1" t="s">
        <v>10</v>
      </c>
      <c r="O1" s="3"/>
      <c r="P1" s="3" t="s">
        <v>11</v>
      </c>
      <c r="Q1" s="3"/>
      <c r="R1" s="14" t="s">
        <v>12</v>
      </c>
      <c r="S1" t="s">
        <v>13</v>
      </c>
      <c r="T1" s="14" t="s">
        <v>14</v>
      </c>
      <c r="U1" s="14" t="s">
        <v>15</v>
      </c>
      <c r="V1" t="s">
        <v>16</v>
      </c>
      <c r="W1" s="3"/>
      <c r="X1" s="14" t="s">
        <v>15</v>
      </c>
      <c r="Y1" t="s">
        <v>17</v>
      </c>
      <c r="Z1" s="3"/>
      <c r="AA1" t="s">
        <v>18</v>
      </c>
      <c r="AB1" s="3"/>
      <c r="AC1" s="14" t="s">
        <v>19</v>
      </c>
      <c r="AD1" s="14" t="s">
        <v>20</v>
      </c>
      <c r="AE1" s="14" t="s">
        <v>21</v>
      </c>
      <c r="AF1" s="14" t="s">
        <v>22</v>
      </c>
      <c r="AG1" s="14" t="s">
        <v>23</v>
      </c>
      <c r="AH1" s="1" t="s">
        <v>24</v>
      </c>
      <c r="AI1" s="3"/>
      <c r="AJ1" s="2"/>
      <c r="AK1" s="2"/>
      <c r="AL1" s="2"/>
      <c r="AM1" s="2"/>
    </row>
    <row r="2" spans="1:39" ht="76" customHeight="1" x14ac:dyDescent="0.2">
      <c r="A2" s="2" t="s">
        <v>25</v>
      </c>
      <c r="B2" s="2" t="s">
        <v>26</v>
      </c>
      <c r="C2" s="2" t="s">
        <v>27</v>
      </c>
      <c r="D2" s="2" t="s">
        <v>28</v>
      </c>
      <c r="E2" s="12" t="s">
        <v>29</v>
      </c>
      <c r="F2" s="12" t="s">
        <v>30</v>
      </c>
      <c r="G2" s="12" t="s">
        <v>31</v>
      </c>
      <c r="H2" s="12" t="s">
        <v>32</v>
      </c>
      <c r="I2" s="12" t="s">
        <v>31</v>
      </c>
      <c r="J2" s="2" t="s">
        <v>33</v>
      </c>
      <c r="K2" s="2" t="s">
        <v>34</v>
      </c>
      <c r="L2" s="12" t="s">
        <v>35</v>
      </c>
      <c r="M2" s="12" t="s">
        <v>31</v>
      </c>
      <c r="N2" s="12" t="s">
        <v>36</v>
      </c>
      <c r="O2" s="12" t="s">
        <v>31</v>
      </c>
      <c r="P2" s="2" t="s">
        <v>37</v>
      </c>
      <c r="Q2" s="2"/>
      <c r="R2" s="11" t="s">
        <v>38</v>
      </c>
      <c r="S2" s="11" t="s">
        <v>39</v>
      </c>
      <c r="T2" s="11" t="s">
        <v>40</v>
      </c>
      <c r="U2" s="11" t="s">
        <v>41</v>
      </c>
      <c r="V2" s="15" t="s">
        <v>42</v>
      </c>
      <c r="W2" s="16" t="s">
        <v>31</v>
      </c>
      <c r="X2" s="11" t="s">
        <v>43</v>
      </c>
      <c r="Y2" s="15" t="s">
        <v>44</v>
      </c>
      <c r="Z2" s="12" t="s">
        <v>31</v>
      </c>
      <c r="AA2" s="15" t="s">
        <v>45</v>
      </c>
      <c r="AB2" s="15" t="s">
        <v>46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5" t="s">
        <v>52</v>
      </c>
      <c r="AI2" s="16" t="s">
        <v>31</v>
      </c>
      <c r="AJ2" s="2"/>
      <c r="AK2" s="2"/>
      <c r="AL2" s="2"/>
      <c r="AM2" s="2"/>
    </row>
    <row r="3" spans="1:39" ht="30" customHeight="1" x14ac:dyDescent="0.2">
      <c r="A3" s="4">
        <v>45792.715694444443</v>
      </c>
      <c r="B3" s="2" t="s">
        <v>53</v>
      </c>
      <c r="C3" s="2"/>
      <c r="D3" s="2" t="s">
        <v>54</v>
      </c>
      <c r="E3" s="2">
        <v>21</v>
      </c>
      <c r="F3" s="2" t="s">
        <v>55</v>
      </c>
      <c r="G3" s="2">
        <v>1</v>
      </c>
      <c r="H3" s="2" t="s">
        <v>56</v>
      </c>
      <c r="I3" s="2">
        <v>1</v>
      </c>
      <c r="J3" s="2">
        <v>33458</v>
      </c>
      <c r="K3" s="2" t="s">
        <v>57</v>
      </c>
      <c r="L3" t="s">
        <v>58</v>
      </c>
      <c r="M3" s="2">
        <v>2</v>
      </c>
      <c r="N3" s="2" t="s">
        <v>59</v>
      </c>
      <c r="O3" s="2"/>
      <c r="P3" s="2" t="str" cm="1">
        <f t="array" ref="P3">_xlfn.IFS(OR(N3="Accounting", N3="BIA", N3="Business Analytics", N3="Business Information &amp; Analytics", N3="Business undecided", N3="Finance", N3="Finance &amp; Accounting", N3="Hospitality Management", N3="Hospitality Mgmt", N3="Hospitality management", N3="Interational Business", N3="International Business", N3="Management", N3="Marketing", N3="Real Estate"), "Daniels College of Business", OR(N3="Biology", N3="Chemistry", N3="Integrated Sciences", N3="Molecular Biology", N3="Molecular biology", N3="Physiology", N3="Physiology in health and disease", N3="Math"), "Natural Sciences &amp; Mathematics", OR(N3="Computer Science", N3="Mechanical engineering"), "Engineering &amp; Computer Science", OR(N3="Anthropology", N3="Communication and Media", N3="Communciations", N3="Economics", N3="Economics and Sociology", N3="Emergent Digital Practices", N3="Environmental Science", N3="Environmental science", N3="Gender studies", N3="International Studies", N3="International studies", N3="Journalism and Finance", N3="Journalism and International Studies", N3="Political Science", N3="Psychology", N3="Psychology &amp; Economics", N3="Psychology, French", N3="Psych &amp; spanish", N3="Psych and Spanish", N3="Public policy"), "Arts, Humanities &amp; Social Sciences", OR(N3="Ecology and Biodiversity", N3="Ecology and biodiversity"), "Natural Resources &amp; Sustainability")</f>
        <v>Daniels College of Business</v>
      </c>
      <c r="Q3" s="2">
        <f>IF(P3="Daniels College of Business", 1,
 IF(P3="Arts, Humanities &amp; Social Sciences", 2,
 IF(P3="Engineering &amp; Computer Science", 3,
 IF(P3="Natural Sciences &amp; Mathematics", 4,
 IF(P3="Korbel's School of International Studies", 5, "")))))</f>
        <v>1</v>
      </c>
      <c r="R3" s="2">
        <v>9</v>
      </c>
      <c r="S3" s="2">
        <v>1</v>
      </c>
      <c r="T3" s="5">
        <v>45659</v>
      </c>
      <c r="U3" s="5">
        <v>45659</v>
      </c>
      <c r="V3" s="2" t="s">
        <v>60</v>
      </c>
      <c r="W3" s="13">
        <f>IF(V3="Not at all confident", 1,
 IF(V3="Slightly confident", 2,
 IF(V3="Very confident", 3,
 IF(V3="Extremely Confident", 4, ""))))</f>
        <v>4</v>
      </c>
      <c r="X3" s="2" t="s">
        <v>61</v>
      </c>
      <c r="Y3" s="2" t="s">
        <v>62</v>
      </c>
      <c r="Z3" s="2">
        <f>IF(Y3="Not at all", 1,
 IF(Y3="Slightly", 2,
 IF(Y3="Very much", 3,
 IF(Y3="Extremely", 4, ""))))</f>
        <v>3</v>
      </c>
      <c r="AA3" s="2" t="s">
        <v>62</v>
      </c>
      <c r="AB3">
        <v>3</v>
      </c>
      <c r="AC3" s="2">
        <v>2</v>
      </c>
      <c r="AD3" s="2">
        <v>1</v>
      </c>
      <c r="AE3" s="2">
        <v>3</v>
      </c>
      <c r="AF3" s="2">
        <v>4</v>
      </c>
      <c r="AG3" s="2">
        <v>2</v>
      </c>
      <c r="AH3" s="2" t="s">
        <v>63</v>
      </c>
      <c r="AI3" s="2">
        <f>IF(AH3="Not at all", 1,
 IF(AH3="Slightly", 2,
 IF(AH3="Very much", 3,
 IF(AH3="Extremely", 4, ""))))</f>
        <v>1</v>
      </c>
      <c r="AJ3" s="2"/>
      <c r="AK3" s="2"/>
      <c r="AL3" s="2"/>
      <c r="AM3" s="2"/>
    </row>
    <row r="4" spans="1:39" ht="16" x14ac:dyDescent="0.2">
      <c r="A4" s="4">
        <v>45792.716284722221</v>
      </c>
      <c r="B4" s="2" t="s">
        <v>64</v>
      </c>
      <c r="C4" s="2"/>
      <c r="D4" s="2" t="s">
        <v>54</v>
      </c>
      <c r="E4" s="2">
        <v>19</v>
      </c>
      <c r="F4" s="2" t="s">
        <v>55</v>
      </c>
      <c r="G4" s="2">
        <v>1</v>
      </c>
      <c r="H4" s="2" t="s">
        <v>56</v>
      </c>
      <c r="I4" s="2">
        <v>1</v>
      </c>
      <c r="J4" s="2">
        <v>55038</v>
      </c>
      <c r="K4" s="2" t="s">
        <v>65</v>
      </c>
      <c r="L4" s="2" t="s">
        <v>66</v>
      </c>
      <c r="M4" s="2">
        <v>2</v>
      </c>
      <c r="N4" s="2" t="s">
        <v>59</v>
      </c>
      <c r="O4" s="2"/>
      <c r="P4" s="2" t="str" cm="1">
        <f t="array" ref="P4">_xlfn.IFS(OR(N4="Accounting", N4="BIA", N4="Business Analytics", N4="Business Information &amp; Analytics", N4="Business undecided", N4="Finance", N4="Finance &amp; Accounting", N4="Hospitality Management", N4="Hospitality Mgmt", N4="Hospitality management", N4="Interational Business", N4="International Business", N4="Management", N4="Marketing", N4="Real Estate"), "Daniels College of Business", OR(N4="Biology", N4="Chemistry", N4="Integrated Sciences", N4="Molecular Biology", N4="Molecular biology", N4="Physiology", N4="Physiology in health and disease", N4="Math"), "Natural Sciences &amp; Mathematics", OR(N4="Computer Science", N4="Mechanical engineering"), "Engineering &amp; Computer Science", OR(N4="Anthropology", N4="Communication and Media", N4="Communciations", N4="Economics", N4="Economics and Sociology", N4="Emergent Digital Practices", N4="Environmental Science", N4="Environmental science", N4="Gender studies", N4="International Studies", N4="International studies", N4="Journalism and Finance", N4="Journalism and International Studies", N4="Political Science", N4="Psychology", N4="Psychology &amp; Economics", N4="Psychology, French", N4="Psych &amp; spanish", N4="Psych and Spanish", N4="Public policy"), "Arts, Humanities &amp; Social Sciences", OR(N4="Ecology and Biodiversity", N4="Ecology and biodiversity"), "Natural Resources &amp; Sustainability")</f>
        <v>Daniels College of Business</v>
      </c>
      <c r="Q4" s="2">
        <f t="shared" ref="Q4:Q67" si="0">IF(P4="Daniels College of Business", 1,
 IF(P4="Arts, Humanities &amp; Social Sciences", 2,
 IF(P4="Engineering &amp; Computer Science", 3,
 IF(P4="Natural Sciences &amp; Mathematics", 4,
 IF(P4="Korbel's School of International Studies", 5, "")))))</f>
        <v>1</v>
      </c>
      <c r="R4" s="2">
        <v>7</v>
      </c>
      <c r="S4" s="2">
        <v>2</v>
      </c>
      <c r="T4" s="5">
        <v>45721</v>
      </c>
      <c r="U4" s="5">
        <v>45659</v>
      </c>
      <c r="V4" s="2" t="s">
        <v>67</v>
      </c>
      <c r="W4" s="13">
        <f t="shared" ref="W4:W67" si="1">IF(V4="Not at all confident", 1,
 IF(V4="Slightly confident", 2,
 IF(V4="Very confident", 3,
 IF(V4="Extremely Confident", 4, ""))))</f>
        <v>3</v>
      </c>
      <c r="X4" s="2" t="s">
        <v>61</v>
      </c>
      <c r="Y4" s="2" t="s">
        <v>68</v>
      </c>
      <c r="Z4" s="2">
        <f t="shared" ref="Z4:Z67" si="2">IF(Y4="Not at all", 1,
 IF(Y4="Slightly", 2,
 IF(Y4="Very much", 3,
 IF(Y4="Extremely", 4, ""))))</f>
        <v>2</v>
      </c>
      <c r="AA4" s="2" t="s">
        <v>68</v>
      </c>
      <c r="AB4">
        <v>2</v>
      </c>
      <c r="AC4" s="2">
        <v>1</v>
      </c>
      <c r="AD4" s="2">
        <v>2</v>
      </c>
      <c r="AE4" s="2">
        <v>4</v>
      </c>
      <c r="AF4" s="2">
        <v>3</v>
      </c>
      <c r="AG4" s="2">
        <v>1</v>
      </c>
      <c r="AH4" s="2" t="s">
        <v>63</v>
      </c>
      <c r="AI4" s="2">
        <f t="shared" ref="AI4:AI67" si="3">IF(AH4="Not at all", 1,
 IF(AH4="Slightly", 2,
 IF(AH4="Very much", 3,
 IF(AH4="Extremely", 4, ""))))</f>
        <v>1</v>
      </c>
      <c r="AJ4" s="2"/>
      <c r="AK4" s="2"/>
      <c r="AL4" s="2"/>
      <c r="AM4" s="2"/>
    </row>
    <row r="5" spans="1:39" ht="16" x14ac:dyDescent="0.2">
      <c r="A5" s="4">
        <v>45792.717673611114</v>
      </c>
      <c r="B5" s="2" t="s">
        <v>69</v>
      </c>
      <c r="C5" s="2"/>
      <c r="D5" s="2" t="s">
        <v>54</v>
      </c>
      <c r="E5" s="2">
        <v>19</v>
      </c>
      <c r="F5" s="2" t="s">
        <v>70</v>
      </c>
      <c r="G5" s="2">
        <v>2</v>
      </c>
      <c r="H5" s="2" t="s">
        <v>56</v>
      </c>
      <c r="I5" s="2">
        <v>1</v>
      </c>
      <c r="J5" s="2">
        <v>80210</v>
      </c>
      <c r="K5" s="2" t="s">
        <v>71</v>
      </c>
      <c r="L5" s="2" t="s">
        <v>72</v>
      </c>
      <c r="M5" s="2">
        <v>1</v>
      </c>
      <c r="N5" s="2" t="s">
        <v>73</v>
      </c>
      <c r="O5" s="2"/>
      <c r="P5" s="2" t="str" cm="1">
        <f t="array" ref="P5">_xlfn.IFS(OR(N5="Accounting", N5="BIA", N5="Business Analytics", N5="Business Information &amp; Analytics", N5="Business undecided", N5="Finance", N5="Finance &amp; Accounting", N5="Hospitality Management", N5="Hospitality Mgmt", N5="Hospitality management", N5="Interational Business", N5="International Business", N5="Management", N5="Marketing", N5="Real Estate"), "Daniels College of Business", OR(N5="Biology", N5="Chemistry", N5="Integrated Sciences", N5="Molecular Biology", N5="Molecular biology", N5="Physiology", N5="Physiology in health and disease", N5="Math"), "Natural Sciences &amp; Mathematics", OR(N5="Computer Science", N5="Mechanical engineering"), "Engineering &amp; Computer Science", OR(N5="Anthropology", N5="Communication and Media", N5="Communciations", N5="Economics", N5="Economics and Sociology", N5="Emergent Digital Practices", N5="Environmental Science", N5="Environmental science", N5="Gender studies", N5="International Studies", N5="International studies", N5="Journalism and Finance", N5="Journalism and International Studies", N5="Political Science", N5="Psychology", N5="Psychology &amp; Economics", N5="Psychology, French", N5="Psych &amp; spanish", N5="Psych and Spanish", N5="Public policy"), "Arts, Humanities &amp; Social Sciences", OR(N5="Ecology and Biodiversity", N5="Ecology and biodiversity"), "Natural Resources &amp; Sustainability")</f>
        <v>Daniels College of Business</v>
      </c>
      <c r="Q5" s="2">
        <f t="shared" si="0"/>
        <v>1</v>
      </c>
      <c r="R5" s="2">
        <v>9</v>
      </c>
      <c r="S5" s="2">
        <v>3</v>
      </c>
      <c r="T5" s="5">
        <v>45721</v>
      </c>
      <c r="U5" s="5">
        <v>45721</v>
      </c>
      <c r="V5" s="2" t="s">
        <v>67</v>
      </c>
      <c r="W5" s="13">
        <f t="shared" si="1"/>
        <v>3</v>
      </c>
      <c r="X5" s="2" t="s">
        <v>74</v>
      </c>
      <c r="Y5" s="2" t="s">
        <v>62</v>
      </c>
      <c r="Z5" s="2">
        <f t="shared" si="2"/>
        <v>3</v>
      </c>
      <c r="AA5" s="2" t="s">
        <v>62</v>
      </c>
      <c r="AB5">
        <v>3</v>
      </c>
      <c r="AC5" s="2">
        <v>1</v>
      </c>
      <c r="AD5" s="2">
        <v>2</v>
      </c>
      <c r="AE5" s="2">
        <v>3</v>
      </c>
      <c r="AF5" s="2">
        <v>4</v>
      </c>
      <c r="AG5" s="2">
        <v>3</v>
      </c>
      <c r="AH5" s="2" t="s">
        <v>68</v>
      </c>
      <c r="AI5" s="2">
        <f t="shared" si="3"/>
        <v>2</v>
      </c>
      <c r="AJ5" s="2"/>
      <c r="AK5" s="2"/>
      <c r="AL5" s="2"/>
      <c r="AM5" s="2"/>
    </row>
    <row r="6" spans="1:39" ht="16" x14ac:dyDescent="0.2">
      <c r="A6" s="4">
        <v>45792.718414351853</v>
      </c>
      <c r="B6" s="2" t="s">
        <v>75</v>
      </c>
      <c r="C6" s="2"/>
      <c r="D6" s="2" t="s">
        <v>54</v>
      </c>
      <c r="E6" s="2">
        <v>21</v>
      </c>
      <c r="F6" s="2" t="s">
        <v>70</v>
      </c>
      <c r="G6" s="2">
        <v>2</v>
      </c>
      <c r="H6" s="2" t="s">
        <v>56</v>
      </c>
      <c r="I6" s="2">
        <v>1</v>
      </c>
      <c r="J6" s="2">
        <v>80210</v>
      </c>
      <c r="K6" s="2" t="s">
        <v>65</v>
      </c>
      <c r="L6" s="2" t="s">
        <v>72</v>
      </c>
      <c r="M6" s="2">
        <v>1</v>
      </c>
      <c r="N6" s="2" t="s">
        <v>76</v>
      </c>
      <c r="O6" s="2"/>
      <c r="P6" s="2" t="str" cm="1">
        <f t="array" ref="P6">_xlfn.IFS(OR(N6="Accounting", N6="BIA", N6="Business Analytics", N6="Business Information &amp; Analytics", N6="Business undecided", N6="Finance", N6="Finance &amp; Accounting", N6="Hospitality Management", N6="Hospitality Mgmt", N6="Hospitality management", N6="Interational Business", N6="International Business", N6="Management", N6="Marketing", N6="Real Estate"), "Daniels College of Business", OR(N6="Biology", N6="Chemistry", N6="Integrated Sciences", N6="Molecular Biology", N6="Molecular biology", N6="Physiology", N6="Physiology in health and disease", N6="Math"), "Natural Sciences &amp; Mathematics", OR(N6="Computer Science", N6="Mechanical engineering"), "Engineering &amp; Computer Science", OR(N6="Anthropology", N6="Communication and Media", N6="Communciations", N6="Economics", N6="Economics and Sociology", N6="Emergent Digital Practices", N6="Environmental Science", N6="Environmental science", N6="Gender studies", N6="International Studies", N6="International studies", N6="Journalism and Finance", N6="Journalism and International Studies", N6="Political Science", N6="Psychology", N6="Psychology &amp; Economics", N6="Psychology, French", N6="Psych &amp; spanish", N6="Psych and Spanish", N6="Public policy"), "Arts, Humanities &amp; Social Sciences", OR(N6="Ecology and Biodiversity", N6="Ecology and biodiversity"), "Natural Resources &amp; Sustainability")</f>
        <v>Daniels College of Business</v>
      </c>
      <c r="Q6" s="2">
        <f t="shared" si="0"/>
        <v>1</v>
      </c>
      <c r="R6" s="2">
        <v>5</v>
      </c>
      <c r="S6" s="2">
        <v>2</v>
      </c>
      <c r="T6" s="5">
        <v>45659</v>
      </c>
      <c r="U6" s="2">
        <v>0</v>
      </c>
      <c r="V6" s="2" t="s">
        <v>77</v>
      </c>
      <c r="W6" s="13">
        <f t="shared" si="1"/>
        <v>2</v>
      </c>
      <c r="X6" s="2" t="s">
        <v>78</v>
      </c>
      <c r="Y6" s="2" t="s">
        <v>68</v>
      </c>
      <c r="Z6" s="2">
        <f t="shared" si="2"/>
        <v>2</v>
      </c>
      <c r="AA6" s="2" t="s">
        <v>68</v>
      </c>
      <c r="AB6">
        <v>2</v>
      </c>
      <c r="AC6" s="2">
        <v>2</v>
      </c>
      <c r="AD6" s="2">
        <v>4</v>
      </c>
      <c r="AE6" s="2">
        <v>1</v>
      </c>
      <c r="AF6" s="2">
        <v>3</v>
      </c>
      <c r="AG6" s="2">
        <v>2</v>
      </c>
      <c r="AH6" s="2" t="s">
        <v>63</v>
      </c>
      <c r="AI6" s="2">
        <f t="shared" si="3"/>
        <v>1</v>
      </c>
      <c r="AJ6" s="2"/>
      <c r="AK6" s="2"/>
      <c r="AL6" s="2"/>
      <c r="AM6" s="2"/>
    </row>
    <row r="7" spans="1:39" ht="16" x14ac:dyDescent="0.2">
      <c r="A7" s="4">
        <v>45792.719027777777</v>
      </c>
      <c r="B7" s="2" t="s">
        <v>79</v>
      </c>
      <c r="C7" s="2"/>
      <c r="D7" s="2" t="s">
        <v>54</v>
      </c>
      <c r="E7" s="2">
        <v>21</v>
      </c>
      <c r="F7" s="2" t="s">
        <v>70</v>
      </c>
      <c r="G7" s="2">
        <v>2</v>
      </c>
      <c r="H7" s="2" t="s">
        <v>56</v>
      </c>
      <c r="I7" s="2">
        <v>1</v>
      </c>
      <c r="J7" s="2">
        <v>59714</v>
      </c>
      <c r="K7" s="2" t="s">
        <v>80</v>
      </c>
      <c r="L7" s="2" t="s">
        <v>81</v>
      </c>
      <c r="M7" s="2">
        <v>3</v>
      </c>
      <c r="N7" s="2" t="s">
        <v>82</v>
      </c>
      <c r="O7" s="2"/>
      <c r="P7" s="2" t="str" cm="1">
        <f t="array" ref="P7">_xlfn.IFS(OR(N7="Accounting", N7="BIA", N7="Business Analytics", N7="Business Information &amp; Analytics", N7="Business undecided", N7="Finance", N7="Finance &amp; Accounting", N7="Hospitality Management", N7="Hospitality Mgmt", N7="Hospitality management", N7="Interational Business", N7="International Business", N7="Management", N7="Marketing", N7="Real Estate"), "Daniels College of Business", OR(N7="Biology", N7="Chemistry", N7="Integrated Sciences", N7="Molecular Biology", N7="Molecular biology", N7="Physiology", N7="Physiology in health and disease", N7="Math"), "Natural Sciences &amp; Mathematics", OR(N7="Computer Science", N7="Mechanical engineering"), "Engineering &amp; Computer Science", OR(N7="Anthropology", N7="Communication and Media", N7="Communciations", N7="Economics", N7="Economics and Sociology", N7="Emergent Digital Practices", N7="Environmental Science", N7="Environmental science", N7="Gender studies", N7="International Studies", N7="International studies", N7="Journalism and Finance", N7="Journalism and International Studies", N7="Political Science", N7="Psychology", N7="Psychology &amp; Economics", N7="Psychology, French", N7="Psych &amp; spanish", N7="Psych and Spanish", N7="Public policy"), "Arts, Humanities &amp; Social Sciences", OR(N7="Ecology and Biodiversity", N7="Ecology and biodiversity"), "Natural Resources &amp; Sustainability")</f>
        <v>Natural Sciences &amp; Mathematics</v>
      </c>
      <c r="Q7" s="2">
        <f t="shared" si="0"/>
        <v>4</v>
      </c>
      <c r="R7" s="2">
        <v>8</v>
      </c>
      <c r="S7" s="2">
        <v>5</v>
      </c>
      <c r="T7" s="2" t="s">
        <v>83</v>
      </c>
      <c r="U7" s="5">
        <v>45659</v>
      </c>
      <c r="V7" s="2" t="s">
        <v>67</v>
      </c>
      <c r="W7" s="13">
        <f t="shared" si="1"/>
        <v>3</v>
      </c>
      <c r="X7" s="2" t="s">
        <v>84</v>
      </c>
      <c r="Y7" s="2" t="s">
        <v>62</v>
      </c>
      <c r="Z7" s="2">
        <f t="shared" si="2"/>
        <v>3</v>
      </c>
      <c r="AA7" s="2" t="s">
        <v>68</v>
      </c>
      <c r="AB7">
        <v>2</v>
      </c>
      <c r="AC7" s="2">
        <v>2</v>
      </c>
      <c r="AD7" s="2">
        <v>3</v>
      </c>
      <c r="AE7" s="2">
        <v>1</v>
      </c>
      <c r="AF7" s="2">
        <v>4</v>
      </c>
      <c r="AG7" s="2">
        <v>2</v>
      </c>
      <c r="AH7" s="2" t="s">
        <v>63</v>
      </c>
      <c r="AI7" s="2">
        <f t="shared" si="3"/>
        <v>1</v>
      </c>
      <c r="AJ7" s="2"/>
      <c r="AK7" s="2"/>
      <c r="AL7" s="2"/>
      <c r="AM7" s="2"/>
    </row>
    <row r="8" spans="1:39" ht="16" x14ac:dyDescent="0.2">
      <c r="A8" s="4">
        <v>45792.719201388885</v>
      </c>
      <c r="B8" s="2" t="s">
        <v>85</v>
      </c>
      <c r="C8" s="2"/>
      <c r="D8" s="2" t="s">
        <v>54</v>
      </c>
      <c r="E8" s="2">
        <v>19</v>
      </c>
      <c r="F8" s="2" t="s">
        <v>70</v>
      </c>
      <c r="G8" s="2">
        <v>2</v>
      </c>
      <c r="H8" s="2" t="s">
        <v>56</v>
      </c>
      <c r="I8" s="2">
        <v>1</v>
      </c>
      <c r="J8" s="2">
        <v>98112</v>
      </c>
      <c r="K8" s="2" t="s">
        <v>71</v>
      </c>
      <c r="L8" s="2" t="s">
        <v>66</v>
      </c>
      <c r="M8" s="2">
        <v>2</v>
      </c>
      <c r="N8" s="2" t="s">
        <v>86</v>
      </c>
      <c r="O8" s="2"/>
      <c r="P8" s="2" t="str" cm="1">
        <f t="array" ref="P8">_xlfn.IFS(OR(N8="Accounting", N8="BIA", N8="Business Analytics", N8="Business Information &amp; Analytics", N8="Business undecided", N8="Finance", N8="Finance &amp; Accounting", N8="Hospitality Management", N8="Hospitality Mgmt", N8="Hospitality management", N8="Interational Business", N8="International Business", N8="Management", N8="Marketing", N8="Real Estate"), "Daniels College of Business", OR(N8="Biology", N8="Chemistry", N8="Integrated Sciences", N8="Molecular Biology", N8="Molecular biology", N8="Physiology", N8="Physiology in health and disease", N8="Math"), "Natural Sciences &amp; Mathematics", OR(N8="Computer Science", N8="Mechanical engineering"), "Engineering &amp; Computer Science", OR(N8="Anthropology", N8="Communication and Media", N8="Communciations", N8="Economics", N8="Economics and Sociology", N8="Emergent Digital Practices", N8="Environmental Science", N8="Environmental science", N8="Gender studies", N8="International Studies", N8="International studies", N8="Journalism and Finance", N8="Journalism and International Studies", N8="Political Science", N8="Psychology", N8="Psychology &amp; Economics", N8="Psychology, French", N8="Psych &amp; spanish", N8="Psych and Spanish", N8="Public policy"), "Arts, Humanities &amp; Social Sciences", OR(N8="Ecology and Biodiversity", N8="Ecology and biodiversity"), "Natural Resources &amp; Sustainability")</f>
        <v>Engineering &amp; Computer Science</v>
      </c>
      <c r="Q8" s="2">
        <f t="shared" si="0"/>
        <v>3</v>
      </c>
      <c r="R8" s="2">
        <v>7</v>
      </c>
      <c r="S8" s="2">
        <v>5</v>
      </c>
      <c r="T8" s="2" t="s">
        <v>83</v>
      </c>
      <c r="U8" s="2">
        <v>0</v>
      </c>
      <c r="V8" s="2" t="s">
        <v>77</v>
      </c>
      <c r="W8" s="13">
        <f t="shared" si="1"/>
        <v>2</v>
      </c>
      <c r="X8" s="2" t="s">
        <v>87</v>
      </c>
      <c r="Y8" s="2" t="s">
        <v>68</v>
      </c>
      <c r="Z8" s="2">
        <f t="shared" si="2"/>
        <v>2</v>
      </c>
      <c r="AA8" s="2" t="s">
        <v>63</v>
      </c>
      <c r="AB8">
        <v>1</v>
      </c>
      <c r="AC8" s="2">
        <v>2</v>
      </c>
      <c r="AD8" s="2">
        <v>4</v>
      </c>
      <c r="AE8" s="2">
        <v>1</v>
      </c>
      <c r="AF8" s="2">
        <v>3</v>
      </c>
      <c r="AG8" s="2">
        <v>2</v>
      </c>
      <c r="AH8" s="2" t="s">
        <v>63</v>
      </c>
      <c r="AI8" s="2">
        <f t="shared" si="3"/>
        <v>1</v>
      </c>
      <c r="AJ8" s="2"/>
      <c r="AK8" s="2"/>
      <c r="AL8" s="2"/>
      <c r="AM8" s="2"/>
    </row>
    <row r="9" spans="1:39" ht="16" x14ac:dyDescent="0.2">
      <c r="A9" s="4">
        <v>45792.720092592594</v>
      </c>
      <c r="B9" s="2" t="s">
        <v>88</v>
      </c>
      <c r="C9" s="2"/>
      <c r="D9" s="2" t="s">
        <v>54</v>
      </c>
      <c r="E9" s="2">
        <v>21</v>
      </c>
      <c r="F9" s="2" t="s">
        <v>70</v>
      </c>
      <c r="G9" s="2">
        <v>2</v>
      </c>
      <c r="H9" s="2" t="s">
        <v>56</v>
      </c>
      <c r="I9" s="2">
        <v>1</v>
      </c>
      <c r="J9" s="2">
        <v>80210</v>
      </c>
      <c r="K9" s="2" t="s">
        <v>89</v>
      </c>
      <c r="L9" s="2" t="s">
        <v>72</v>
      </c>
      <c r="M9" s="2">
        <v>3</v>
      </c>
      <c r="N9" s="2" t="s">
        <v>90</v>
      </c>
      <c r="O9" s="2"/>
      <c r="P9" s="2" t="s">
        <v>91</v>
      </c>
      <c r="Q9" s="2">
        <f t="shared" si="0"/>
        <v>1</v>
      </c>
      <c r="R9" s="2">
        <v>6</v>
      </c>
      <c r="S9" s="2">
        <v>4</v>
      </c>
      <c r="T9" s="5">
        <v>45816</v>
      </c>
      <c r="U9" s="5">
        <v>45816</v>
      </c>
      <c r="V9" s="2" t="s">
        <v>77</v>
      </c>
      <c r="W9" s="13">
        <f t="shared" si="1"/>
        <v>2</v>
      </c>
      <c r="X9" s="2" t="s">
        <v>61</v>
      </c>
      <c r="Y9" s="2" t="s">
        <v>68</v>
      </c>
      <c r="Z9" s="2">
        <f t="shared" si="2"/>
        <v>2</v>
      </c>
      <c r="AA9" s="2" t="s">
        <v>62</v>
      </c>
      <c r="AB9">
        <v>3</v>
      </c>
      <c r="AC9" s="2">
        <v>3</v>
      </c>
      <c r="AD9" s="2">
        <v>2</v>
      </c>
      <c r="AE9" s="2">
        <v>4</v>
      </c>
      <c r="AF9" s="2">
        <v>1</v>
      </c>
      <c r="AG9" s="2">
        <v>2</v>
      </c>
      <c r="AH9" s="2" t="s">
        <v>68</v>
      </c>
      <c r="AI9" s="2">
        <f t="shared" si="3"/>
        <v>2</v>
      </c>
      <c r="AJ9" s="2"/>
      <c r="AK9" s="2"/>
      <c r="AL9" s="2"/>
      <c r="AM9" s="2"/>
    </row>
    <row r="10" spans="1:39" ht="16" x14ac:dyDescent="0.2">
      <c r="A10" s="4">
        <v>45792.720949074072</v>
      </c>
      <c r="B10" s="2" t="s">
        <v>92</v>
      </c>
      <c r="C10" s="2"/>
      <c r="D10" s="2" t="s">
        <v>54</v>
      </c>
      <c r="E10" s="2">
        <v>18</v>
      </c>
      <c r="F10" s="2" t="s">
        <v>55</v>
      </c>
      <c r="G10" s="2">
        <v>1</v>
      </c>
      <c r="H10" s="2" t="s">
        <v>56</v>
      </c>
      <c r="I10" s="2">
        <v>1</v>
      </c>
      <c r="J10" s="2">
        <v>10549</v>
      </c>
      <c r="K10" s="2" t="s">
        <v>93</v>
      </c>
      <c r="L10" s="2" t="s">
        <v>94</v>
      </c>
      <c r="M10" s="2">
        <v>4</v>
      </c>
      <c r="N10" s="2" t="s">
        <v>90</v>
      </c>
      <c r="O10" s="2"/>
      <c r="P10" s="2" t="s">
        <v>91</v>
      </c>
      <c r="Q10" s="2">
        <f t="shared" si="0"/>
        <v>1</v>
      </c>
      <c r="R10" s="2">
        <v>8</v>
      </c>
      <c r="S10" s="2">
        <v>4</v>
      </c>
      <c r="T10" s="5">
        <v>45659</v>
      </c>
      <c r="U10" s="2">
        <v>0</v>
      </c>
      <c r="V10" s="2" t="s">
        <v>67</v>
      </c>
      <c r="W10" s="13">
        <f t="shared" si="1"/>
        <v>3</v>
      </c>
      <c r="X10" s="2" t="s">
        <v>95</v>
      </c>
      <c r="Y10" s="2" t="s">
        <v>62</v>
      </c>
      <c r="Z10" s="2">
        <f t="shared" si="2"/>
        <v>3</v>
      </c>
      <c r="AA10" s="2" t="s">
        <v>62</v>
      </c>
      <c r="AB10">
        <v>3</v>
      </c>
      <c r="AC10" s="2">
        <v>3</v>
      </c>
      <c r="AD10" s="2">
        <v>1</v>
      </c>
      <c r="AE10" s="2">
        <v>2</v>
      </c>
      <c r="AF10" s="2">
        <v>4</v>
      </c>
      <c r="AG10" s="2">
        <v>3</v>
      </c>
      <c r="AH10" s="2" t="s">
        <v>68</v>
      </c>
      <c r="AI10" s="2">
        <f t="shared" si="3"/>
        <v>2</v>
      </c>
      <c r="AJ10" s="2"/>
      <c r="AK10" s="2"/>
      <c r="AL10" s="2"/>
      <c r="AM10" s="2"/>
    </row>
    <row r="11" spans="1:39" ht="16" x14ac:dyDescent="0.2">
      <c r="A11" s="4">
        <v>45792.723090277781</v>
      </c>
      <c r="B11" s="2" t="s">
        <v>96</v>
      </c>
      <c r="C11" s="2"/>
      <c r="D11" s="2" t="s">
        <v>54</v>
      </c>
      <c r="E11" s="2">
        <v>21</v>
      </c>
      <c r="F11" s="2" t="s">
        <v>70</v>
      </c>
      <c r="G11" s="2">
        <v>2</v>
      </c>
      <c r="H11" s="2" t="s">
        <v>56</v>
      </c>
      <c r="I11" s="2">
        <v>1</v>
      </c>
      <c r="J11" s="2">
        <v>2043</v>
      </c>
      <c r="K11" s="2" t="s">
        <v>71</v>
      </c>
      <c r="L11" s="2" t="s">
        <v>72</v>
      </c>
      <c r="M11" s="2">
        <v>1</v>
      </c>
      <c r="N11" s="2" t="s">
        <v>97</v>
      </c>
      <c r="O11" s="2"/>
      <c r="P11" s="2" t="str" cm="1">
        <f t="array" ref="P11">_xlfn.IFS(OR(N11="Accounting", N11="BIA", N11="Business Analytics", N11="Business Information &amp; Analytics", N11="Business undecided", N11="Finance", N11="Finance &amp; Accounting", N11="Hospitality Management", N11="Hospitality Mgmt", N11="Hospitality management", N11="Interational Business", N11="International Business", N11="Management", N11="Marketing", N11="Real Estate"), "Daniels College of Business", OR(N11="Biology", N11="Chemistry", N11="Integrated Sciences", N11="Molecular Biology", N11="Molecular biology", N11="Physiology", N11="Physiology in health and disease", N11="Math"), "Natural Sciences &amp; Mathematics", OR(N11="Computer Science", N11="Mechanical engineering"), "Engineering &amp; Computer Science", OR(N11="Anthropology", N11="Communication and Media", N11="Communciations", N11="Economics", N11="Economics and Sociology", N11="Emergent Digital Practices", N11="Environmental Science", N11="Environmental science", N11="Gender studies", N11="International Studies", N11="International studies", N11="Journalism and Finance", N11="Journalism and International Studies", N11="Political Science", N11="Psychology", N11="Psychology &amp; Economics", N11="Psychology, French", N11="Psych &amp; spanish", N11="Psych and Spanish", N11="Public policy"), "Arts, Humanities &amp; Social Sciences", OR(N11="Ecology and Biodiversity", N11="Ecology and biodiversity"), "Natural Resources &amp; Sustainability")</f>
        <v>Arts, Humanities &amp; Social Sciences</v>
      </c>
      <c r="Q11" s="2">
        <f t="shared" si="0"/>
        <v>2</v>
      </c>
      <c r="R11" s="2">
        <v>7</v>
      </c>
      <c r="S11" s="2">
        <v>5</v>
      </c>
      <c r="T11" s="5">
        <v>45816</v>
      </c>
      <c r="U11" s="5">
        <v>45721</v>
      </c>
      <c r="V11" s="2" t="s">
        <v>77</v>
      </c>
      <c r="W11" s="13">
        <f t="shared" si="1"/>
        <v>2</v>
      </c>
      <c r="X11" s="2" t="s">
        <v>61</v>
      </c>
      <c r="Y11" s="2" t="s">
        <v>68</v>
      </c>
      <c r="Z11" s="2">
        <f t="shared" si="2"/>
        <v>2</v>
      </c>
      <c r="AA11" s="2" t="s">
        <v>68</v>
      </c>
      <c r="AB11">
        <v>2</v>
      </c>
      <c r="AC11" s="2">
        <v>3</v>
      </c>
      <c r="AD11" s="2">
        <v>1</v>
      </c>
      <c r="AE11" s="2">
        <v>2</v>
      </c>
      <c r="AF11" s="2">
        <v>4</v>
      </c>
      <c r="AG11" s="2">
        <v>2</v>
      </c>
      <c r="AH11" s="2" t="s">
        <v>63</v>
      </c>
      <c r="AI11" s="2">
        <f t="shared" si="3"/>
        <v>1</v>
      </c>
      <c r="AJ11" s="2"/>
      <c r="AK11" s="2"/>
      <c r="AL11" s="2"/>
      <c r="AM11" s="2"/>
    </row>
    <row r="12" spans="1:39" ht="16" x14ac:dyDescent="0.2">
      <c r="A12" s="4">
        <v>45792.723321759258</v>
      </c>
      <c r="B12" s="2" t="s">
        <v>98</v>
      </c>
      <c r="C12" s="2"/>
      <c r="D12" s="2" t="s">
        <v>54</v>
      </c>
      <c r="E12" s="2">
        <v>18</v>
      </c>
      <c r="F12" s="2" t="s">
        <v>55</v>
      </c>
      <c r="G12" s="2">
        <v>1</v>
      </c>
      <c r="H12" s="2" t="s">
        <v>56</v>
      </c>
      <c r="I12" s="2">
        <v>1</v>
      </c>
      <c r="J12" s="2">
        <v>53562</v>
      </c>
      <c r="K12" s="2" t="s">
        <v>99</v>
      </c>
      <c r="L12" s="2" t="s">
        <v>81</v>
      </c>
      <c r="M12" s="2">
        <v>3</v>
      </c>
      <c r="N12" s="2" t="s">
        <v>100</v>
      </c>
      <c r="O12" s="2"/>
      <c r="P12" s="2" t="str" cm="1">
        <f t="array" ref="P12">_xlfn.IFS(OR(N12="Accounting", N12="BIA", N12="Business Analytics", N12="Business Information &amp; Analytics", N12="Business undecided", N12="Finance", N12="Finance &amp; Accounting", N12="Hospitality Management", N12="Hospitality Mgmt", N12="Hospitality management", N12="Interational Business", N12="International Business", N12="Management", N12="Marketing", N12="Real Estate"), "Daniels College of Business", OR(N12="Biology", N12="Chemistry", N12="Integrated Sciences", N12="Molecular Biology", N12="Molecular biology", N12="Physiology", N12="Physiology in health and disease", N12="Math"), "Natural Sciences &amp; Mathematics", OR(N12="Computer Science", N12="Mechanical engineering"), "Engineering &amp; Computer Science", OR(N12="Anthropology", N12="Communication and Media", N12="Communciations", N12="Economics", N12="Economics and Sociology", N12="Emergent Digital Practices", N12="Environmental Science", N12="Environmental science", N12="Gender studies", N12="International Studies", N12="International studies", N12="Journalism and Finance", N12="Journalism and International Studies", N12="Political Science", N12="Psychology", N12="Psychology &amp; Economics", N12="Psychology, French", N12="Psych &amp; spanish", N12="Psych and Spanish", N12="Public policy"), "Arts, Humanities &amp; Social Sciences", OR(N12="Ecology and Biodiversity", N12="Ecology and biodiversity"), "Natural Resources &amp; Sustainability")</f>
        <v>Daniels College of Business</v>
      </c>
      <c r="Q12" s="2">
        <f t="shared" si="0"/>
        <v>1</v>
      </c>
      <c r="R12" s="2">
        <v>9</v>
      </c>
      <c r="S12" s="2">
        <v>5</v>
      </c>
      <c r="T12" s="2" t="s">
        <v>83</v>
      </c>
      <c r="U12" s="2">
        <v>0</v>
      </c>
      <c r="V12" s="2" t="s">
        <v>67</v>
      </c>
      <c r="W12" s="13">
        <f t="shared" si="1"/>
        <v>3</v>
      </c>
      <c r="X12" s="2" t="s">
        <v>61</v>
      </c>
      <c r="Y12" s="2" t="s">
        <v>62</v>
      </c>
      <c r="Z12" s="2">
        <f t="shared" si="2"/>
        <v>3</v>
      </c>
      <c r="AA12" s="2" t="s">
        <v>62</v>
      </c>
      <c r="AB12">
        <v>3</v>
      </c>
      <c r="AC12" s="2">
        <v>2</v>
      </c>
      <c r="AD12" s="2">
        <v>4</v>
      </c>
      <c r="AE12" s="2">
        <v>1</v>
      </c>
      <c r="AF12" s="2">
        <v>3</v>
      </c>
      <c r="AG12" s="2">
        <v>3</v>
      </c>
      <c r="AH12" s="2" t="s">
        <v>101</v>
      </c>
      <c r="AI12" s="2">
        <f t="shared" si="3"/>
        <v>3</v>
      </c>
      <c r="AJ12" s="2"/>
      <c r="AK12" s="2"/>
      <c r="AL12" s="2"/>
      <c r="AM12" s="2"/>
    </row>
    <row r="13" spans="1:39" ht="16" x14ac:dyDescent="0.2">
      <c r="A13" s="4">
        <v>45792.724039351851</v>
      </c>
      <c r="B13" s="2" t="s">
        <v>102</v>
      </c>
      <c r="C13" s="2"/>
      <c r="D13" s="2" t="s">
        <v>54</v>
      </c>
      <c r="E13" s="2">
        <v>20</v>
      </c>
      <c r="F13" s="2" t="s">
        <v>55</v>
      </c>
      <c r="G13" s="2">
        <v>1</v>
      </c>
      <c r="H13" s="2" t="s">
        <v>56</v>
      </c>
      <c r="I13" s="2">
        <v>1</v>
      </c>
      <c r="J13" s="2">
        <v>6611</v>
      </c>
      <c r="K13" s="2" t="s">
        <v>65</v>
      </c>
      <c r="L13" s="2" t="s">
        <v>72</v>
      </c>
      <c r="M13" s="2">
        <v>1</v>
      </c>
      <c r="N13" s="2" t="s">
        <v>103</v>
      </c>
      <c r="O13" s="2"/>
      <c r="P13" s="2" t="str" cm="1">
        <f t="array" ref="P13">_xlfn.IFS(OR(N13="Accounting", N13="BIA", N13="Business Analytics", N13="Business Information &amp; Analytics", N13="Business undecided", N13="Finance", N13="Finance &amp; Accounting", N13="Hospitality Management", N13="Hospitality Mgmt", N13="Hospitality management", N13="Interational Business", N13="International Business", N13="Management", N13="Marketing", N13="Real Estate"), "Daniels College of Business", OR(N13="Biology", N13="Chemistry", N13="Integrated Sciences", N13="Molecular Biology", N13="Molecular biology", N13="Physiology", N13="Physiology in health and disease", N13="Math"), "Natural Sciences &amp; Mathematics", OR(N13="Computer Science", N13="Mechanical engineering"), "Engineering &amp; Computer Science", OR(N13="Anthropology", N13="Communication and Media", N13="Communciations", N13="Economics", N13="Economics and Sociology", N13="Emergent Digital Practices", N13="Environmental Science", N13="Environmental science", N13="Gender studies", N13="International Studies", N13="International studies", N13="Journalism and Finance", N13="Journalism and International Studies", N13="Political Science", N13="Psychology", N13="Psychology &amp; Economics", N13="Psychology, French", N13="Psych &amp; spanish", N13="Psych and Spanish", N13="Public policy"), "Arts, Humanities &amp; Social Sciences", OR(N13="Ecology and Biodiversity", N13="Ecology and biodiversity"), "Natural Resources &amp; Sustainability")</f>
        <v>Arts, Humanities &amp; Social Sciences</v>
      </c>
      <c r="Q13" s="2">
        <f t="shared" si="0"/>
        <v>2</v>
      </c>
      <c r="R13" s="2">
        <v>7</v>
      </c>
      <c r="S13" s="2">
        <v>4</v>
      </c>
      <c r="T13" s="5">
        <v>45910</v>
      </c>
      <c r="U13" s="2">
        <v>0</v>
      </c>
      <c r="V13" s="2" t="s">
        <v>67</v>
      </c>
      <c r="W13" s="13">
        <f t="shared" si="1"/>
        <v>3</v>
      </c>
      <c r="X13" s="2" t="s">
        <v>61</v>
      </c>
      <c r="Y13" s="2" t="s">
        <v>62</v>
      </c>
      <c r="Z13" s="2">
        <f t="shared" si="2"/>
        <v>3</v>
      </c>
      <c r="AA13" s="2" t="s">
        <v>62</v>
      </c>
      <c r="AB13">
        <v>3</v>
      </c>
      <c r="AC13" s="2">
        <v>3</v>
      </c>
      <c r="AD13" s="2">
        <v>4</v>
      </c>
      <c r="AE13" s="2">
        <v>2</v>
      </c>
      <c r="AF13" s="2">
        <v>1</v>
      </c>
      <c r="AG13" s="2">
        <v>2</v>
      </c>
      <c r="AH13" s="2" t="s">
        <v>68</v>
      </c>
      <c r="AI13" s="2">
        <f t="shared" si="3"/>
        <v>2</v>
      </c>
      <c r="AJ13" s="2"/>
      <c r="AK13" s="2"/>
      <c r="AL13" s="2"/>
      <c r="AM13" s="2"/>
    </row>
    <row r="14" spans="1:39" ht="16" x14ac:dyDescent="0.2">
      <c r="A14" s="4">
        <v>45792.725208333337</v>
      </c>
      <c r="B14" s="2" t="s">
        <v>104</v>
      </c>
      <c r="C14" s="2"/>
      <c r="D14" s="2" t="s">
        <v>54</v>
      </c>
      <c r="E14" s="2">
        <v>20</v>
      </c>
      <c r="F14" s="2" t="s">
        <v>70</v>
      </c>
      <c r="G14" s="2">
        <v>2</v>
      </c>
      <c r="H14" s="2" t="s">
        <v>105</v>
      </c>
      <c r="I14" s="2">
        <v>4</v>
      </c>
      <c r="J14" s="2">
        <v>87105</v>
      </c>
      <c r="K14" s="2" t="s">
        <v>93</v>
      </c>
      <c r="L14" s="2" t="s">
        <v>81</v>
      </c>
      <c r="M14" s="2">
        <v>3</v>
      </c>
      <c r="N14" s="2" t="s">
        <v>106</v>
      </c>
      <c r="O14" s="2"/>
      <c r="P14" s="2" t="s">
        <v>91</v>
      </c>
      <c r="Q14" s="2">
        <f t="shared" si="0"/>
        <v>1</v>
      </c>
      <c r="R14" s="2">
        <v>10</v>
      </c>
      <c r="S14" s="2">
        <v>4</v>
      </c>
      <c r="T14" s="5">
        <v>45816</v>
      </c>
      <c r="U14" s="2">
        <v>0</v>
      </c>
      <c r="V14" s="2" t="s">
        <v>60</v>
      </c>
      <c r="W14" s="13">
        <f t="shared" si="1"/>
        <v>4</v>
      </c>
      <c r="X14" s="2" t="s">
        <v>61</v>
      </c>
      <c r="Y14" s="2" t="s">
        <v>62</v>
      </c>
      <c r="Z14" s="2">
        <f t="shared" si="2"/>
        <v>3</v>
      </c>
      <c r="AA14" s="2" t="s">
        <v>107</v>
      </c>
      <c r="AB14">
        <v>4</v>
      </c>
      <c r="AC14" s="2">
        <v>1</v>
      </c>
      <c r="AD14" s="2">
        <v>3</v>
      </c>
      <c r="AE14" s="2">
        <v>4</v>
      </c>
      <c r="AF14" s="2">
        <v>2</v>
      </c>
      <c r="AG14" s="2">
        <v>3</v>
      </c>
      <c r="AH14" s="2" t="s">
        <v>101</v>
      </c>
      <c r="AI14" s="2">
        <f t="shared" si="3"/>
        <v>3</v>
      </c>
      <c r="AJ14" s="2"/>
      <c r="AK14" s="2"/>
      <c r="AL14" s="2"/>
      <c r="AM14" s="2"/>
    </row>
    <row r="15" spans="1:39" ht="16" x14ac:dyDescent="0.2">
      <c r="A15" s="4">
        <v>45792.725925925923</v>
      </c>
      <c r="B15" s="2" t="s">
        <v>108</v>
      </c>
      <c r="C15" s="2"/>
      <c r="D15" s="2" t="s">
        <v>54</v>
      </c>
      <c r="E15" s="2">
        <v>20</v>
      </c>
      <c r="F15" s="2" t="s">
        <v>70</v>
      </c>
      <c r="G15" s="2">
        <v>2</v>
      </c>
      <c r="H15" s="2" t="s">
        <v>56</v>
      </c>
      <c r="I15" s="2">
        <v>1</v>
      </c>
      <c r="J15" s="2">
        <v>78751</v>
      </c>
      <c r="K15" s="2" t="s">
        <v>93</v>
      </c>
      <c r="L15" s="2" t="s">
        <v>66</v>
      </c>
      <c r="M15" s="2">
        <v>2</v>
      </c>
      <c r="N15" s="2" t="s">
        <v>109</v>
      </c>
      <c r="O15" s="2"/>
      <c r="P15" s="2" t="str" cm="1">
        <f t="array" ref="P15">_xlfn.IFS(OR(N15="Accounting", N15="BIA", N15="Business Analytics", N15="Business Information &amp; Analytics", N15="Business undecided", N15="Finance", N15="Finance &amp; Accounting", N15="Hospitality Management", N15="Hospitality Mgmt", N15="Hospitality management", N15="Interational Business", N15="International Business", N15="Management", N15="Marketing", N15="Real Estate"), "Daniels College of Business", OR(N15="Biology", N15="Chemistry", N15="Integrated Sciences", N15="Molecular Biology", N15="Molecular biology", N15="Physiology", N15="Physiology in health and disease", N15="Math"), "Natural Sciences &amp; Mathematics", OR(N15="Computer Science", N15="Mechanical engineering"), "Engineering &amp; Computer Science", OR(N15="Anthropology", N15="Communication and Media", N15="Communciations", N15="Economics", N15="Economics and Sociology", N15="Emergent Digital Practices", N15="Environmental Science", N15="Environmental science", N15="Gender studies", N15="International Studies", N15="International studies", N15="Journalism and Finance", N15="Journalism and International Studies", N15="Political Science", N15="Psychology", N15="Psychology &amp; Economics", N15="Psychology, French", N15="Psych &amp; spanish", N15="Psych and Spanish", N15="Public policy"), "Arts, Humanities &amp; Social Sciences", OR(N15="Ecology and Biodiversity", N15="Ecology and biodiversity"), "Natural Resources &amp; Sustainability")</f>
        <v>Natural Sciences &amp; Mathematics</v>
      </c>
      <c r="Q15" s="2">
        <f t="shared" si="0"/>
        <v>4</v>
      </c>
      <c r="R15" s="2">
        <v>10</v>
      </c>
      <c r="S15" s="2">
        <v>3</v>
      </c>
      <c r="T15" s="5">
        <v>45721</v>
      </c>
      <c r="U15" s="5">
        <v>45659</v>
      </c>
      <c r="V15" s="2" t="s">
        <v>77</v>
      </c>
      <c r="W15" s="13">
        <f t="shared" si="1"/>
        <v>2</v>
      </c>
      <c r="X15" s="2" t="s">
        <v>110</v>
      </c>
      <c r="Y15" s="2" t="s">
        <v>68</v>
      </c>
      <c r="Z15" s="2">
        <f t="shared" si="2"/>
        <v>2</v>
      </c>
      <c r="AA15" s="2" t="s">
        <v>68</v>
      </c>
      <c r="AB15">
        <v>2</v>
      </c>
      <c r="AC15" s="2">
        <v>1</v>
      </c>
      <c r="AD15" s="2">
        <v>3</v>
      </c>
      <c r="AE15" s="2">
        <v>2</v>
      </c>
      <c r="AF15" s="2">
        <v>4</v>
      </c>
      <c r="AG15" s="2">
        <v>2</v>
      </c>
      <c r="AH15" s="2" t="s">
        <v>63</v>
      </c>
      <c r="AI15" s="2">
        <f t="shared" si="3"/>
        <v>1</v>
      </c>
      <c r="AJ15" s="2"/>
      <c r="AK15" s="2"/>
      <c r="AL15" s="2"/>
      <c r="AM15" s="2"/>
    </row>
    <row r="16" spans="1:39" ht="16" x14ac:dyDescent="0.2">
      <c r="A16" s="4">
        <v>45792.726782407408</v>
      </c>
      <c r="B16" s="2" t="s">
        <v>111</v>
      </c>
      <c r="C16" s="2"/>
      <c r="D16" s="2" t="s">
        <v>54</v>
      </c>
      <c r="E16" s="2">
        <v>21</v>
      </c>
      <c r="F16" s="2" t="s">
        <v>70</v>
      </c>
      <c r="G16" s="2">
        <v>2</v>
      </c>
      <c r="H16" s="2" t="s">
        <v>112</v>
      </c>
      <c r="I16" s="2">
        <v>3</v>
      </c>
      <c r="J16" s="2">
        <v>63141</v>
      </c>
      <c r="K16" s="2" t="s">
        <v>71</v>
      </c>
      <c r="L16" s="2" t="s">
        <v>66</v>
      </c>
      <c r="M16" s="2">
        <v>2</v>
      </c>
      <c r="N16" s="2" t="s">
        <v>113</v>
      </c>
      <c r="O16" s="2"/>
      <c r="P16" s="2" t="s">
        <v>114</v>
      </c>
      <c r="Q16" s="2">
        <f t="shared" si="0"/>
        <v>4</v>
      </c>
      <c r="R16" s="2">
        <v>7</v>
      </c>
      <c r="S16" s="2">
        <v>5</v>
      </c>
      <c r="T16" s="5">
        <v>45659</v>
      </c>
      <c r="U16" s="5">
        <v>45659</v>
      </c>
      <c r="V16" s="2" t="s">
        <v>67</v>
      </c>
      <c r="W16" s="13">
        <f t="shared" si="1"/>
        <v>3</v>
      </c>
      <c r="X16" s="2" t="s">
        <v>84</v>
      </c>
      <c r="Y16" s="2" t="s">
        <v>62</v>
      </c>
      <c r="Z16" s="2">
        <f t="shared" si="2"/>
        <v>3</v>
      </c>
      <c r="AA16" s="2" t="s">
        <v>68</v>
      </c>
      <c r="AB16">
        <v>2</v>
      </c>
      <c r="AC16" s="2">
        <v>1</v>
      </c>
      <c r="AD16" s="2">
        <v>4</v>
      </c>
      <c r="AE16" s="2">
        <v>2</v>
      </c>
      <c r="AF16" s="2">
        <v>3</v>
      </c>
      <c r="AG16" s="2">
        <v>3</v>
      </c>
      <c r="AH16" s="2" t="s">
        <v>68</v>
      </c>
      <c r="AI16" s="2">
        <f t="shared" si="3"/>
        <v>2</v>
      </c>
      <c r="AJ16" s="2"/>
      <c r="AK16" s="2"/>
      <c r="AL16" s="2"/>
      <c r="AM16" s="2"/>
    </row>
    <row r="17" spans="1:39" ht="16" x14ac:dyDescent="0.2">
      <c r="A17" s="4">
        <v>45792.726782407408</v>
      </c>
      <c r="B17" s="2" t="s">
        <v>115</v>
      </c>
      <c r="C17" s="2"/>
      <c r="D17" s="2" t="s">
        <v>54</v>
      </c>
      <c r="E17" s="2">
        <v>21</v>
      </c>
      <c r="F17" s="2" t="s">
        <v>70</v>
      </c>
      <c r="G17" s="2">
        <v>2</v>
      </c>
      <c r="H17" s="2" t="s">
        <v>56</v>
      </c>
      <c r="I17" s="2">
        <v>1</v>
      </c>
      <c r="J17" s="2">
        <v>80210</v>
      </c>
      <c r="K17" s="2" t="s">
        <v>93</v>
      </c>
      <c r="L17" s="2" t="s">
        <v>81</v>
      </c>
      <c r="M17" s="2">
        <v>3</v>
      </c>
      <c r="N17" s="2" t="s">
        <v>116</v>
      </c>
      <c r="O17" s="2"/>
      <c r="P17" s="2" t="str" cm="1">
        <f t="array" ref="P17">_xlfn.IFS(OR(N17="Accounting", N17="BIA", N17="Business Analytics", N17="Business Information &amp; Analytics", N17="Business undecided", N17="Finance", N17="Finance &amp; Accounting", N17="Hospitality Management", N17="Hospitality Mgmt", N17="Hospitality management", N17="Interational Business", N17="International Business", N17="Management", N17="Marketing", N17="Real Estate"), "Daniels College of Business", OR(N17="Biology", N17="Chemistry", N17="Integrated Sciences", N17="Molecular Biology", N17="Molecular biology", N17="Physiology", N17="Physiology in health and disease", N17="Math"), "Natural Sciences &amp; Mathematics", OR(N17="Computer Science", N17="Mechanical engineering"), "Engineering &amp; Computer Science", OR(N17="Anthropology", N17="Communication and Media", N17="Communciations", N17="Economics", N17="Economics and Sociology", N17="Emergent Digital Practices", N17="Environmental Science", N17="Environmental science", N17="Gender studies", N17="International Studies", N17="International studies", N17="Journalism and Finance", N17="Journalism and International Studies", N17="Political Science", N17="Psychology", N17="Psychology &amp; Economics", N17="Psychology, French", N17="Psych &amp; spanish", N17="Psych and Spanish", N17="Public policy"), "Arts, Humanities &amp; Social Sciences", OR(N17="Ecology and Biodiversity", N17="Ecology and biodiversity"), "Natural Resources &amp; Sustainability")</f>
        <v>Engineering &amp; Computer Science</v>
      </c>
      <c r="Q17" s="2">
        <f t="shared" si="0"/>
        <v>3</v>
      </c>
      <c r="R17" s="2">
        <v>7</v>
      </c>
      <c r="S17" s="2">
        <v>4</v>
      </c>
      <c r="T17" s="5">
        <v>45721</v>
      </c>
      <c r="U17" s="2">
        <v>0</v>
      </c>
      <c r="V17" s="2" t="s">
        <v>77</v>
      </c>
      <c r="W17" s="13">
        <f t="shared" si="1"/>
        <v>2</v>
      </c>
      <c r="X17" s="2" t="s">
        <v>87</v>
      </c>
      <c r="Y17" s="2" t="s">
        <v>62</v>
      </c>
      <c r="Z17" s="2">
        <f t="shared" si="2"/>
        <v>3</v>
      </c>
      <c r="AA17" s="2" t="s">
        <v>68</v>
      </c>
      <c r="AB17">
        <v>2</v>
      </c>
      <c r="AC17" s="2">
        <v>2</v>
      </c>
      <c r="AD17" s="2">
        <v>1</v>
      </c>
      <c r="AE17" s="2">
        <v>3</v>
      </c>
      <c r="AF17" s="2">
        <v>4</v>
      </c>
      <c r="AG17" s="2">
        <v>3</v>
      </c>
      <c r="AH17" s="2" t="s">
        <v>68</v>
      </c>
      <c r="AI17" s="2">
        <f t="shared" si="3"/>
        <v>2</v>
      </c>
      <c r="AJ17" s="2"/>
      <c r="AK17" s="2"/>
      <c r="AL17" s="2"/>
      <c r="AM17" s="2"/>
    </row>
    <row r="18" spans="1:39" ht="16" x14ac:dyDescent="0.2">
      <c r="A18" s="4">
        <v>45792.729108796295</v>
      </c>
      <c r="B18" s="2" t="s">
        <v>117</v>
      </c>
      <c r="C18" s="2"/>
      <c r="D18" s="2" t="s">
        <v>54</v>
      </c>
      <c r="E18" s="2">
        <v>21</v>
      </c>
      <c r="F18" s="2" t="s">
        <v>55</v>
      </c>
      <c r="G18" s="2">
        <v>1</v>
      </c>
      <c r="H18" s="2" t="s">
        <v>56</v>
      </c>
      <c r="I18" s="2">
        <v>1</v>
      </c>
      <c r="J18" s="2">
        <v>2043</v>
      </c>
      <c r="K18" s="2" t="s">
        <v>71</v>
      </c>
      <c r="L18" s="2" t="s">
        <v>81</v>
      </c>
      <c r="M18" s="2">
        <v>3</v>
      </c>
      <c r="N18" s="2" t="s">
        <v>118</v>
      </c>
      <c r="O18" s="2"/>
      <c r="P18" s="2" t="str" cm="1">
        <f t="array" ref="P18">_xlfn.IFS(OR(N18="Accounting", N18="BIA", N18="Business Analytics", N18="Business Information &amp; Analytics", N18="Business undecided", N18="Finance", N18="Finance &amp; Accounting", N18="Hospitality Management", N18="Hospitality Mgmt", N18="Hospitality management", N18="Interational Business", N18="International Business", N18="Management", N18="Marketing", N18="Real Estate"), "Daniels College of Business", OR(N18="Biology", N18="Chemistry", N18="Integrated Sciences", N18="Molecular Biology", N18="Molecular biology", N18="Physiology", N18="Physiology in health and disease", N18="Math"), "Natural Sciences &amp; Mathematics", OR(N18="Computer Science", N18="Mechanical engineering"), "Engineering &amp; Computer Science", OR(N18="Anthropology", N18="Communication and Media", N18="Communciations", N18="Economics", N18="Economics and Sociology", N18="Emergent Digital Practices", N18="Environmental Science", N18="Environmental science", N18="Gender studies", N18="International Studies", N18="International studies", N18="Journalism and Finance", N18="Journalism and International Studies", N18="Political Science", N18="Psychology", N18="Psychology &amp; Economics", N18="Psychology, French", N18="Psych &amp; spanish", N18="Psych and Spanish", N18="Public policy"), "Arts, Humanities &amp; Social Sciences", OR(N18="Ecology and Biodiversity", N18="Ecology and biodiversity"), "Natural Resources &amp; Sustainability")</f>
        <v>Natural Resources &amp; Sustainability</v>
      </c>
      <c r="Q18" s="2">
        <v>4</v>
      </c>
      <c r="R18" s="2">
        <v>8</v>
      </c>
      <c r="S18" s="2">
        <v>3</v>
      </c>
      <c r="T18" s="5">
        <v>45721</v>
      </c>
      <c r="U18" s="2">
        <v>0</v>
      </c>
      <c r="V18" s="2" t="s">
        <v>119</v>
      </c>
      <c r="W18" s="13">
        <f t="shared" si="1"/>
        <v>1</v>
      </c>
      <c r="X18" s="2" t="s">
        <v>110</v>
      </c>
      <c r="Y18" s="2" t="s">
        <v>68</v>
      </c>
      <c r="Z18" s="2">
        <f t="shared" si="2"/>
        <v>2</v>
      </c>
      <c r="AA18" s="2" t="s">
        <v>62</v>
      </c>
      <c r="AB18">
        <v>3</v>
      </c>
      <c r="AC18" s="2">
        <v>2</v>
      </c>
      <c r="AD18" s="2">
        <v>1</v>
      </c>
      <c r="AE18" s="2">
        <v>3</v>
      </c>
      <c r="AF18" s="2">
        <v>4</v>
      </c>
      <c r="AG18" s="2">
        <v>2</v>
      </c>
      <c r="AH18" s="2" t="s">
        <v>63</v>
      </c>
      <c r="AI18" s="2">
        <f t="shared" si="3"/>
        <v>1</v>
      </c>
      <c r="AJ18" s="2"/>
      <c r="AK18" s="2"/>
      <c r="AL18" s="2"/>
      <c r="AM18" s="2"/>
    </row>
    <row r="19" spans="1:39" ht="16" x14ac:dyDescent="0.2">
      <c r="A19" s="4">
        <v>45792.730254629627</v>
      </c>
      <c r="B19" s="2" t="s">
        <v>120</v>
      </c>
      <c r="C19" s="2"/>
      <c r="D19" s="2" t="s">
        <v>54</v>
      </c>
      <c r="E19" s="2">
        <v>21</v>
      </c>
      <c r="F19" s="2" t="s">
        <v>70</v>
      </c>
      <c r="G19" s="2">
        <v>2</v>
      </c>
      <c r="H19" s="2" t="s">
        <v>112</v>
      </c>
      <c r="I19" s="2">
        <v>3</v>
      </c>
      <c r="J19" s="2">
        <v>80134</v>
      </c>
      <c r="K19" s="2" t="s">
        <v>71</v>
      </c>
      <c r="L19" s="2" t="s">
        <v>81</v>
      </c>
      <c r="M19" s="2">
        <v>3</v>
      </c>
      <c r="N19" s="2" t="s">
        <v>121</v>
      </c>
      <c r="O19" s="2"/>
      <c r="P19" s="2" t="str" cm="1">
        <f t="array" ref="P19">_xlfn.IFS(OR(N19="Accounting", N19="BIA", N19="Business Analytics", N19="Business Information &amp; Analytics", N19="Business undecided", N19="Finance", N19="Finance &amp; Accounting", N19="Hospitality Management", N19="Hospitality Mgmt", N19="Hospitality management", N19="Interational Business", N19="International Business", N19="Management", N19="Marketing", N19="Real Estate"), "Daniels College of Business", OR(N19="Biology", N19="Chemistry", N19="Integrated Sciences", N19="Molecular Biology", N19="Molecular biology", N19="Physiology", N19="Physiology in health and disease", N19="Math"), "Natural Sciences &amp; Mathematics", OR(N19="Computer Science", N19="Mechanical engineering"), "Engineering &amp; Computer Science", OR(N19="Anthropology", N19="Communication and Media", N19="Communciations", N19="Economics", N19="Economics and Sociology", N19="Emergent Digital Practices", N19="Environmental Science", N19="Environmental science", N19="Gender studies", N19="International Studies", N19="International studies", N19="Journalism and Finance", N19="Journalism and International Studies", N19="Political Science", N19="Psychology", N19="Psychology &amp; Economics", N19="Psychology, French", N19="Psych &amp; spanish", N19="Psych and Spanish", N19="Public policy"), "Arts, Humanities &amp; Social Sciences", OR(N19="Ecology and Biodiversity", N19="Ecology and biodiversity"), "Natural Resources &amp; Sustainability")</f>
        <v>Arts, Humanities &amp; Social Sciences</v>
      </c>
      <c r="Q19" s="2">
        <f t="shared" si="0"/>
        <v>2</v>
      </c>
      <c r="R19" s="2">
        <v>4</v>
      </c>
      <c r="S19" s="2">
        <v>3</v>
      </c>
      <c r="T19" s="5">
        <v>45659</v>
      </c>
      <c r="U19" s="5">
        <v>45659</v>
      </c>
      <c r="V19" s="2" t="s">
        <v>119</v>
      </c>
      <c r="W19" s="13">
        <f t="shared" si="1"/>
        <v>1</v>
      </c>
      <c r="X19" s="2" t="s">
        <v>61</v>
      </c>
      <c r="Y19" s="2" t="s">
        <v>68</v>
      </c>
      <c r="Z19" s="2">
        <f t="shared" si="2"/>
        <v>2</v>
      </c>
      <c r="AA19" s="2" t="s">
        <v>68</v>
      </c>
      <c r="AB19">
        <v>2</v>
      </c>
      <c r="AC19" s="2">
        <v>1</v>
      </c>
      <c r="AD19" s="2">
        <v>2</v>
      </c>
      <c r="AE19" s="2">
        <v>3</v>
      </c>
      <c r="AF19" s="2">
        <v>4</v>
      </c>
      <c r="AG19" s="2">
        <v>1</v>
      </c>
      <c r="AH19" s="2" t="s">
        <v>63</v>
      </c>
      <c r="AI19" s="2">
        <f t="shared" si="3"/>
        <v>1</v>
      </c>
      <c r="AJ19" s="2"/>
      <c r="AK19" s="2"/>
      <c r="AL19" s="2"/>
      <c r="AM19" s="2"/>
    </row>
    <row r="20" spans="1:39" ht="16" x14ac:dyDescent="0.2">
      <c r="A20" s="4">
        <v>45792.731377314813</v>
      </c>
      <c r="B20" s="2" t="s">
        <v>122</v>
      </c>
      <c r="C20" s="2"/>
      <c r="D20" s="2" t="s">
        <v>54</v>
      </c>
      <c r="E20" s="2">
        <v>21</v>
      </c>
      <c r="F20" s="2" t="s">
        <v>70</v>
      </c>
      <c r="G20" s="2">
        <v>2</v>
      </c>
      <c r="H20" s="2" t="s">
        <v>56</v>
      </c>
      <c r="I20" s="2">
        <v>1</v>
      </c>
      <c r="J20" s="2">
        <v>2915</v>
      </c>
      <c r="K20" s="2" t="s">
        <v>65</v>
      </c>
      <c r="L20" s="2" t="s">
        <v>81</v>
      </c>
      <c r="M20" s="2">
        <v>3</v>
      </c>
      <c r="N20" s="2" t="s">
        <v>123</v>
      </c>
      <c r="O20" s="2"/>
      <c r="P20" s="2" t="str" cm="1">
        <f t="array" ref="P20">_xlfn.IFS(OR(N20="Accounting", N20="BIA", N20="Business Analytics", N20="Business Information &amp; Analytics", N20="Business undecided", N20="Finance", N20="Finance &amp; Accounting", N20="Hospitality Management", N20="Hospitality Mgmt", N20="Hospitality management", N20="Interational Business", N20="International Business", N20="Management", N20="Marketing", N20="Real Estate"), "Daniels College of Business", OR(N20="Biology", N20="Chemistry", N20="Integrated Sciences", N20="Molecular Biology", N20="Molecular biology", N20="Physiology", N20="Physiology in health and disease", N20="Math"), "Natural Sciences &amp; Mathematics", OR(N20="Computer Science", N20="Mechanical engineering"), "Engineering &amp; Computer Science", OR(N20="Anthropology", N20="Communication and Media", N20="Communciations", N20="Economics", N20="Economics and Sociology", N20="Emergent Digital Practices", N20="Environmental Science", N20="Environmental science", N20="Gender studies", N20="International Studies", N20="International studies", N20="Journalism and Finance", N20="Journalism and International Studies", N20="Political Science", N20="Psychology", N20="Psychology &amp; Economics", N20="Psychology, French", N20="Psych &amp; spanish", N20="Psych and Spanish", N20="Public policy"), "Arts, Humanities &amp; Social Sciences", OR(N20="Ecology and Biodiversity", N20="Ecology and biodiversity"), "Natural Resources &amp; Sustainability")</f>
        <v>Daniels College of Business</v>
      </c>
      <c r="Q20" s="2">
        <f t="shared" si="0"/>
        <v>1</v>
      </c>
      <c r="R20" s="2">
        <v>9</v>
      </c>
      <c r="S20" s="2">
        <v>5</v>
      </c>
      <c r="T20" s="2" t="s">
        <v>83</v>
      </c>
      <c r="U20" s="5">
        <v>45721</v>
      </c>
      <c r="V20" s="2" t="s">
        <v>67</v>
      </c>
      <c r="W20" s="13">
        <f t="shared" si="1"/>
        <v>3</v>
      </c>
      <c r="X20" s="2" t="s">
        <v>61</v>
      </c>
      <c r="Y20" s="2" t="s">
        <v>62</v>
      </c>
      <c r="Z20" s="2">
        <f t="shared" si="2"/>
        <v>3</v>
      </c>
      <c r="AA20" s="2" t="s">
        <v>68</v>
      </c>
      <c r="AB20">
        <v>2</v>
      </c>
      <c r="AC20" s="2">
        <v>2</v>
      </c>
      <c r="AD20" s="2">
        <v>4</v>
      </c>
      <c r="AE20" s="2">
        <v>3</v>
      </c>
      <c r="AF20" s="2">
        <v>1</v>
      </c>
      <c r="AG20" s="2">
        <v>2</v>
      </c>
      <c r="AH20" s="2" t="s">
        <v>68</v>
      </c>
      <c r="AI20" s="2">
        <f t="shared" si="3"/>
        <v>2</v>
      </c>
      <c r="AJ20" s="2"/>
      <c r="AK20" s="2"/>
      <c r="AL20" s="2"/>
      <c r="AM20" s="2"/>
    </row>
    <row r="21" spans="1:39" ht="16" x14ac:dyDescent="0.2">
      <c r="A21" s="4">
        <v>45792.732499999998</v>
      </c>
      <c r="B21" s="2" t="s">
        <v>124</v>
      </c>
      <c r="C21" s="2"/>
      <c r="D21" s="2" t="s">
        <v>54</v>
      </c>
      <c r="E21" s="2">
        <v>20</v>
      </c>
      <c r="F21" s="2" t="s">
        <v>55</v>
      </c>
      <c r="G21" s="2">
        <v>1</v>
      </c>
      <c r="H21" s="2" t="s">
        <v>56</v>
      </c>
      <c r="I21" s="2">
        <v>1</v>
      </c>
      <c r="J21" s="2">
        <v>80212</v>
      </c>
      <c r="K21" s="2" t="s">
        <v>89</v>
      </c>
      <c r="L21" s="2" t="s">
        <v>81</v>
      </c>
      <c r="M21" s="2">
        <v>3</v>
      </c>
      <c r="N21" s="2" t="s">
        <v>125</v>
      </c>
      <c r="O21" s="2"/>
      <c r="P21" s="2" t="str" cm="1">
        <f t="array" ref="P21">_xlfn.IFS(OR(N21="Accounting", N21="BIA", N21="Business Analytics", N21="Business Information &amp; Analytics", N21="Business undecided", N21="Finance", N21="Finance &amp; Accounting", N21="Hospitality Management", N21="Hospitality Mgmt", N21="Hospitality management", N21="Interational Business", N21="International Business", N21="Management", N21="Marketing", N21="Real Estate"), "Daniels College of Business", OR(N21="Biology", N21="Chemistry", N21="Integrated Sciences", N21="Molecular Biology", N21="Molecular biology", N21="Physiology", N21="Physiology in health and disease", N21="Math"), "Natural Sciences &amp; Mathematics", OR(N21="Computer Science", N21="Mechanical engineering"), "Engineering &amp; Computer Science", OR(N21="Anthropology", N21="Communication and Media", N21="Communciations", N21="Economics", N21="Economics and Sociology", N21="Emergent Digital Practices", N21="Environmental Science", N21="Environmental science", N21="Gender studies", N21="International Studies", N21="International studies", N21="Journalism and Finance", N21="Journalism and International Studies", N21="Political Science", N21="Psychology", N21="Psychology &amp; Economics", N21="Psychology, French", N21="Psych &amp; spanish", N21="Psych and Spanish", N21="Public policy"), "Arts, Humanities &amp; Social Sciences", OR(N21="Ecology and Biodiversity", N21="Ecology and biodiversity"), "Natural Resources &amp; Sustainability")</f>
        <v>Daniels College of Business</v>
      </c>
      <c r="Q21" s="2">
        <f t="shared" si="0"/>
        <v>1</v>
      </c>
      <c r="R21" s="2">
        <v>9</v>
      </c>
      <c r="S21" s="2">
        <v>4</v>
      </c>
      <c r="T21" s="5">
        <v>45721</v>
      </c>
      <c r="U21" s="5">
        <v>45721</v>
      </c>
      <c r="V21" s="2" t="s">
        <v>77</v>
      </c>
      <c r="W21" s="13">
        <f t="shared" si="1"/>
        <v>2</v>
      </c>
      <c r="X21" s="2" t="s">
        <v>126</v>
      </c>
      <c r="Y21" s="2" t="s">
        <v>68</v>
      </c>
      <c r="Z21" s="2">
        <f t="shared" si="2"/>
        <v>2</v>
      </c>
      <c r="AA21" s="2" t="s">
        <v>62</v>
      </c>
      <c r="AB21">
        <v>3</v>
      </c>
      <c r="AC21" s="2">
        <v>2</v>
      </c>
      <c r="AD21" s="2">
        <v>3</v>
      </c>
      <c r="AE21" s="2">
        <v>4</v>
      </c>
      <c r="AF21" s="2">
        <v>1</v>
      </c>
      <c r="AG21" s="2">
        <v>2</v>
      </c>
      <c r="AH21" s="2" t="s">
        <v>63</v>
      </c>
      <c r="AI21" s="2">
        <f t="shared" si="3"/>
        <v>1</v>
      </c>
      <c r="AJ21" s="2"/>
      <c r="AK21" s="2"/>
      <c r="AL21" s="2"/>
      <c r="AM21" s="2"/>
    </row>
    <row r="22" spans="1:39" ht="16" x14ac:dyDescent="0.2">
      <c r="A22" s="4">
        <v>45792.732523148145</v>
      </c>
      <c r="B22" s="2" t="s">
        <v>127</v>
      </c>
      <c r="C22" s="2"/>
      <c r="D22" s="2" t="s">
        <v>54</v>
      </c>
      <c r="E22" s="2">
        <v>20</v>
      </c>
      <c r="F22" s="2" t="s">
        <v>70</v>
      </c>
      <c r="G22" s="2">
        <v>2</v>
      </c>
      <c r="H22" s="2" t="s">
        <v>56</v>
      </c>
      <c r="I22" s="2">
        <v>1</v>
      </c>
      <c r="J22" s="2">
        <v>80104</v>
      </c>
      <c r="K22" s="2" t="s">
        <v>71</v>
      </c>
      <c r="L22" s="2" t="s">
        <v>66</v>
      </c>
      <c r="M22" s="2">
        <v>2</v>
      </c>
      <c r="N22" s="2" t="s">
        <v>128</v>
      </c>
      <c r="O22" s="2"/>
      <c r="P22" s="7" t="s">
        <v>129</v>
      </c>
      <c r="Q22" s="2">
        <v>4</v>
      </c>
      <c r="R22" s="2">
        <v>8</v>
      </c>
      <c r="S22" s="2">
        <v>4</v>
      </c>
      <c r="T22" s="2" t="s">
        <v>83</v>
      </c>
      <c r="U22" s="5">
        <v>45816</v>
      </c>
      <c r="V22" s="2" t="s">
        <v>67</v>
      </c>
      <c r="W22" s="13">
        <f t="shared" si="1"/>
        <v>3</v>
      </c>
      <c r="X22" s="2" t="s">
        <v>61</v>
      </c>
      <c r="Y22" s="2" t="s">
        <v>107</v>
      </c>
      <c r="Z22" s="2">
        <f t="shared" si="2"/>
        <v>4</v>
      </c>
      <c r="AA22" s="2" t="s">
        <v>107</v>
      </c>
      <c r="AB22">
        <v>4</v>
      </c>
      <c r="AC22" s="2">
        <v>2</v>
      </c>
      <c r="AD22" s="2">
        <v>1</v>
      </c>
      <c r="AE22" s="2">
        <v>4</v>
      </c>
      <c r="AF22" s="2">
        <v>3</v>
      </c>
      <c r="AG22" s="2">
        <v>3</v>
      </c>
      <c r="AH22" s="2" t="s">
        <v>68</v>
      </c>
      <c r="AI22" s="2">
        <f t="shared" si="3"/>
        <v>2</v>
      </c>
      <c r="AJ22" s="2"/>
      <c r="AK22" s="2"/>
      <c r="AL22" s="2"/>
      <c r="AM22" s="2"/>
    </row>
    <row r="23" spans="1:39" ht="16" x14ac:dyDescent="0.2">
      <c r="A23" s="4">
        <v>45792.772210648145</v>
      </c>
      <c r="B23" s="2" t="s">
        <v>130</v>
      </c>
      <c r="C23" s="2"/>
      <c r="D23" s="2" t="s">
        <v>54</v>
      </c>
      <c r="E23" s="2">
        <v>20</v>
      </c>
      <c r="F23" s="2" t="s">
        <v>70</v>
      </c>
      <c r="G23" s="2">
        <v>2</v>
      </c>
      <c r="H23" s="2" t="s">
        <v>56</v>
      </c>
      <c r="I23" s="2">
        <v>1</v>
      </c>
      <c r="J23" s="2">
        <v>55445</v>
      </c>
      <c r="K23" s="2" t="s">
        <v>93</v>
      </c>
      <c r="L23" s="2" t="s">
        <v>66</v>
      </c>
      <c r="M23" s="2">
        <v>2</v>
      </c>
      <c r="N23" s="2" t="s">
        <v>131</v>
      </c>
      <c r="O23" s="2"/>
      <c r="P23" s="2" t="str" cm="1">
        <f t="array" ref="P23">_xlfn.IFS(OR(N23="Accounting", N23="BIA", N23="Business Analytics", N23="Business Information &amp; Analytics", N23="Business undecided", N23="Finance", N23="Finance &amp; Accounting", N23="Hospitality Management", N23="Hospitality Mgmt", N23="Hospitality management", N23="Interational Business", N23="International Business", N23="Management", N23="Marketing", N23="Real Estate"), "Daniels College of Business", OR(N23="Biology", N23="Chemistry", N23="Integrated Sciences", N23="Molecular Biology", N23="Molecular biology", N23="Physiology", N23="Physiology in health and disease", N23="Math"), "Natural Sciences &amp; Mathematics", OR(N23="Computer Science", N23="Mechanical engineering"), "Engineering &amp; Computer Science", OR(N23="Anthropology", N23="Communication and Media", N23="Communciations", N23="Economics", N23="Economics and Sociology", N23="Emergent Digital Practices", N23="Environmental Science", N23="Environmental science", N23="Gender studies", N23="International Studies", N23="International studies", N23="Journalism and Finance", N23="Journalism and International Studies", N23="Political Science", N23="Psychology", N23="Psychology &amp; Economics", N23="Psychology, French", N23="Psych &amp; spanish", N23="Psych and Spanish", N23="Public policy"), "Arts, Humanities &amp; Social Sciences", OR(N23="Ecology and Biodiversity", N23="Ecology and biodiversity"), "Natural Resources &amp; Sustainability")</f>
        <v>Arts, Humanities &amp; Social Sciences</v>
      </c>
      <c r="Q23" s="2">
        <f t="shared" si="0"/>
        <v>2</v>
      </c>
      <c r="R23" s="2">
        <v>5</v>
      </c>
      <c r="S23" s="2">
        <v>3</v>
      </c>
      <c r="T23" s="5">
        <v>45721</v>
      </c>
      <c r="U23" s="5">
        <v>45659</v>
      </c>
      <c r="V23" s="2" t="s">
        <v>77</v>
      </c>
      <c r="W23" s="13">
        <f t="shared" si="1"/>
        <v>2</v>
      </c>
      <c r="X23" s="2" t="s">
        <v>61</v>
      </c>
      <c r="Y23" s="2" t="s">
        <v>62</v>
      </c>
      <c r="Z23" s="2">
        <f t="shared" si="2"/>
        <v>3</v>
      </c>
      <c r="AA23" s="2" t="s">
        <v>68</v>
      </c>
      <c r="AB23">
        <v>2</v>
      </c>
      <c r="AC23" s="2">
        <v>1</v>
      </c>
      <c r="AD23" s="2">
        <v>2</v>
      </c>
      <c r="AE23" s="2">
        <v>3</v>
      </c>
      <c r="AF23" s="2">
        <v>4</v>
      </c>
      <c r="AG23" s="2">
        <v>2</v>
      </c>
      <c r="AH23" s="2" t="s">
        <v>63</v>
      </c>
      <c r="AI23" s="2">
        <f t="shared" si="3"/>
        <v>1</v>
      </c>
      <c r="AJ23" s="2"/>
      <c r="AK23" s="2"/>
      <c r="AL23" s="2"/>
      <c r="AM23" s="2"/>
    </row>
    <row r="24" spans="1:39" ht="16" x14ac:dyDescent="0.2">
      <c r="A24" s="4">
        <v>45792.773518518516</v>
      </c>
      <c r="B24" s="2" t="s">
        <v>132</v>
      </c>
      <c r="C24" s="2"/>
      <c r="D24" s="2" t="s">
        <v>54</v>
      </c>
      <c r="E24" s="2">
        <v>21</v>
      </c>
      <c r="F24" s="2" t="s">
        <v>70</v>
      </c>
      <c r="G24" s="2">
        <v>2</v>
      </c>
      <c r="H24" s="2" t="s">
        <v>56</v>
      </c>
      <c r="I24" s="2">
        <v>1</v>
      </c>
      <c r="J24" s="2">
        <v>55439</v>
      </c>
      <c r="K24" s="2" t="s">
        <v>93</v>
      </c>
      <c r="L24" s="2" t="s">
        <v>81</v>
      </c>
      <c r="M24" s="2">
        <v>3</v>
      </c>
      <c r="N24" s="2" t="s">
        <v>133</v>
      </c>
      <c r="O24" s="2"/>
      <c r="P24" s="2" t="str" cm="1">
        <f t="array" ref="P24">_xlfn.IFS(OR(N24="Accounting", N24="BIA", N24="Business Analytics", N24="Business Information &amp; Analytics", N24="Business undecided", N24="Finance", N24="Finance &amp; Accounting", N24="Hospitality Management", N24="Hospitality Mgmt", N24="Hospitality management", N24="Interational Business", N24="International Business", N24="Management", N24="Marketing", N24="Real Estate"), "Daniels College of Business", OR(N24="Biology", N24="Chemistry", N24="Integrated Sciences", N24="Molecular Biology", N24="Molecular biology", N24="Physiology", N24="Physiology in health and disease", N24="Math"), "Natural Sciences &amp; Mathematics", OR(N24="Computer Science", N24="Mechanical engineering"), "Engineering &amp; Computer Science", OR(N24="Anthropology", N24="Communication and Media", N24="Communciations", N24="Economics", N24="Economics and Sociology", N24="Emergent Digital Practices", N24="Environmental Science", N24="Environmental science", N24="Gender studies", N24="International Studies", N24="International studies", N24="Journalism and Finance", N24="Journalism and International Studies", N24="Political Science", N24="Psychology", N24="Psychology &amp; Economics", N24="Psychology, French", N24="Psych &amp; spanish", N24="Psych and Spanish", N24="Public policy"), "Arts, Humanities &amp; Social Sciences", OR(N24="Ecology and Biodiversity", N24="Ecology and biodiversity"), "Natural Resources &amp; Sustainability")</f>
        <v>Natural Sciences &amp; Mathematics</v>
      </c>
      <c r="Q24" s="2">
        <f t="shared" si="0"/>
        <v>4</v>
      </c>
      <c r="R24" s="2">
        <v>6</v>
      </c>
      <c r="S24" s="2">
        <v>3</v>
      </c>
      <c r="T24" s="5">
        <v>45721</v>
      </c>
      <c r="U24" s="5">
        <v>45659</v>
      </c>
      <c r="V24" s="2" t="s">
        <v>67</v>
      </c>
      <c r="W24" s="13">
        <f t="shared" si="1"/>
        <v>3</v>
      </c>
      <c r="X24" s="2" t="s">
        <v>134</v>
      </c>
      <c r="Y24" s="2" t="s">
        <v>62</v>
      </c>
      <c r="Z24" s="2">
        <f t="shared" si="2"/>
        <v>3</v>
      </c>
      <c r="AA24" s="2" t="s">
        <v>68</v>
      </c>
      <c r="AB24">
        <v>2</v>
      </c>
      <c r="AC24" s="2">
        <v>3</v>
      </c>
      <c r="AD24" s="2">
        <v>2</v>
      </c>
      <c r="AE24" s="2">
        <v>4</v>
      </c>
      <c r="AF24" s="2">
        <v>1</v>
      </c>
      <c r="AG24" s="2">
        <v>3</v>
      </c>
      <c r="AH24" s="2" t="s">
        <v>68</v>
      </c>
      <c r="AI24" s="2">
        <f t="shared" si="3"/>
        <v>2</v>
      </c>
      <c r="AJ24" s="2"/>
      <c r="AK24" s="2"/>
      <c r="AL24" s="2"/>
      <c r="AM24" s="2"/>
    </row>
    <row r="25" spans="1:39" ht="16" x14ac:dyDescent="0.2">
      <c r="A25" s="4">
        <v>45792.774259259262</v>
      </c>
      <c r="B25" s="2" t="s">
        <v>135</v>
      </c>
      <c r="C25" s="2"/>
      <c r="D25" s="2" t="s">
        <v>54</v>
      </c>
      <c r="E25" s="2">
        <v>18</v>
      </c>
      <c r="F25" s="2" t="s">
        <v>55</v>
      </c>
      <c r="G25" s="2">
        <v>1</v>
      </c>
      <c r="H25" s="2" t="s">
        <v>56</v>
      </c>
      <c r="I25" s="2">
        <v>1</v>
      </c>
      <c r="J25" s="2">
        <v>99516</v>
      </c>
      <c r="K25" s="2" t="s">
        <v>57</v>
      </c>
      <c r="L25" s="2" t="s">
        <v>81</v>
      </c>
      <c r="M25" s="2">
        <v>3</v>
      </c>
      <c r="N25" s="2" t="s">
        <v>59</v>
      </c>
      <c r="O25" s="2"/>
      <c r="P25" s="2" t="str" cm="1">
        <f t="array" ref="P25">_xlfn.IFS(OR(N25="Accounting", N25="BIA", N25="Business Analytics", N25="Business Information &amp; Analytics", N25="Business undecided", N25="Finance", N25="Finance &amp; Accounting", N25="Hospitality Management", N25="Hospitality Mgmt", N25="Hospitality management", N25="Interational Business", N25="International Business", N25="Management", N25="Marketing", N25="Real Estate"), "Daniels College of Business", OR(N25="Biology", N25="Chemistry", N25="Integrated Sciences", N25="Molecular Biology", N25="Molecular biology", N25="Physiology", N25="Physiology in health and disease", N25="Math"), "Natural Sciences &amp; Mathematics", OR(N25="Computer Science", N25="Mechanical engineering"), "Engineering &amp; Computer Science", OR(N25="Anthropology", N25="Communication and Media", N25="Communciations", N25="Economics", N25="Economics and Sociology", N25="Emergent Digital Practices", N25="Environmental Science", N25="Environmental science", N25="Gender studies", N25="International Studies", N25="International studies", N25="Journalism and Finance", N25="Journalism and International Studies", N25="Political Science", N25="Psychology", N25="Psychology &amp; Economics", N25="Psychology, French", N25="Psych &amp; spanish", N25="Psych and Spanish", N25="Public policy"), "Arts, Humanities &amp; Social Sciences", OR(N25="Ecology and Biodiversity", N25="Ecology and biodiversity"), "Natural Resources &amp; Sustainability")</f>
        <v>Daniels College of Business</v>
      </c>
      <c r="Q25" s="2">
        <f t="shared" si="0"/>
        <v>1</v>
      </c>
      <c r="R25" s="2">
        <v>7</v>
      </c>
      <c r="S25" s="2">
        <v>2</v>
      </c>
      <c r="T25" s="2" t="s">
        <v>83</v>
      </c>
      <c r="U25" s="2">
        <v>0</v>
      </c>
      <c r="V25" s="2" t="s">
        <v>60</v>
      </c>
      <c r="W25" s="13">
        <f t="shared" si="1"/>
        <v>4</v>
      </c>
      <c r="X25" s="2" t="s">
        <v>110</v>
      </c>
      <c r="Y25" s="2" t="s">
        <v>68</v>
      </c>
      <c r="Z25" s="2">
        <f t="shared" si="2"/>
        <v>2</v>
      </c>
      <c r="AA25" s="2" t="s">
        <v>68</v>
      </c>
      <c r="AB25">
        <v>2</v>
      </c>
      <c r="AC25" s="2">
        <v>1</v>
      </c>
      <c r="AD25" s="2">
        <v>3</v>
      </c>
      <c r="AE25" s="2">
        <v>2</v>
      </c>
      <c r="AF25" s="2">
        <v>4</v>
      </c>
      <c r="AG25" s="2">
        <v>1</v>
      </c>
      <c r="AH25" s="2" t="s">
        <v>63</v>
      </c>
      <c r="AI25" s="2">
        <f t="shared" si="3"/>
        <v>1</v>
      </c>
      <c r="AJ25" s="2"/>
      <c r="AK25" s="2"/>
      <c r="AL25" s="2"/>
      <c r="AM25" s="2"/>
    </row>
    <row r="26" spans="1:39" ht="16" x14ac:dyDescent="0.2">
      <c r="A26" s="4">
        <v>45792.780405092592</v>
      </c>
      <c r="B26" s="2" t="s">
        <v>136</v>
      </c>
      <c r="C26" s="2"/>
      <c r="D26" s="2" t="s">
        <v>54</v>
      </c>
      <c r="E26" s="2">
        <v>21</v>
      </c>
      <c r="F26" s="2" t="s">
        <v>55</v>
      </c>
      <c r="G26" s="2">
        <v>1</v>
      </c>
      <c r="H26" s="2" t="s">
        <v>56</v>
      </c>
      <c r="I26" s="2">
        <v>1</v>
      </c>
      <c r="J26" s="2">
        <v>80210</v>
      </c>
      <c r="K26" s="2" t="s">
        <v>65</v>
      </c>
      <c r="L26" s="2" t="s">
        <v>72</v>
      </c>
      <c r="M26" s="2">
        <v>1</v>
      </c>
      <c r="N26" s="2" t="s">
        <v>97</v>
      </c>
      <c r="O26" s="2"/>
      <c r="P26" s="2" t="str" cm="1">
        <f t="array" ref="P26">_xlfn.IFS(OR(N26="Accounting", N26="BIA", N26="Business Analytics", N26="Business Information &amp; Analytics", N26="Business undecided", N26="Finance", N26="Finance &amp; Accounting", N26="Hospitality Management", N26="Hospitality Mgmt", N26="Hospitality management", N26="Interational Business", N26="International Business", N26="Management", N26="Marketing", N26="Real Estate"), "Daniels College of Business", OR(N26="Biology", N26="Chemistry", N26="Integrated Sciences", N26="Molecular Biology", N26="Molecular biology", N26="Physiology", N26="Physiology in health and disease", N26="Math"), "Natural Sciences &amp; Mathematics", OR(N26="Computer Science", N26="Mechanical engineering"), "Engineering &amp; Computer Science", OR(N26="Anthropology", N26="Communication and Media", N26="Communciations", N26="Economics", N26="Economics and Sociology", N26="Emergent Digital Practices", N26="Environmental Science", N26="Environmental science", N26="Gender studies", N26="International Studies", N26="International studies", N26="Journalism and Finance", N26="Journalism and International Studies", N26="Political Science", N26="Psychology", N26="Psychology &amp; Economics", N26="Psychology, French", N26="Psych &amp; spanish", N26="Psych and Spanish", N26="Public policy"), "Arts, Humanities &amp; Social Sciences", OR(N26="Ecology and Biodiversity", N26="Ecology and biodiversity"), "Natural Resources &amp; Sustainability")</f>
        <v>Arts, Humanities &amp; Social Sciences</v>
      </c>
      <c r="Q26" s="2">
        <f t="shared" si="0"/>
        <v>2</v>
      </c>
      <c r="R26" s="2">
        <v>10</v>
      </c>
      <c r="S26" s="2">
        <v>5</v>
      </c>
      <c r="T26" s="5">
        <v>45721</v>
      </c>
      <c r="U26" s="5">
        <v>45721</v>
      </c>
      <c r="V26" s="2" t="s">
        <v>67</v>
      </c>
      <c r="W26" s="13">
        <f t="shared" si="1"/>
        <v>3</v>
      </c>
      <c r="X26" s="2" t="s">
        <v>110</v>
      </c>
      <c r="Y26" s="2" t="s">
        <v>68</v>
      </c>
      <c r="Z26" s="2">
        <f t="shared" si="2"/>
        <v>2</v>
      </c>
      <c r="AA26" s="2" t="s">
        <v>62</v>
      </c>
      <c r="AB26">
        <v>3</v>
      </c>
      <c r="AC26" s="2">
        <v>4</v>
      </c>
      <c r="AD26" s="2">
        <v>3</v>
      </c>
      <c r="AE26" s="2">
        <v>2</v>
      </c>
      <c r="AF26" s="2">
        <v>1</v>
      </c>
      <c r="AG26" s="2">
        <v>1</v>
      </c>
      <c r="AH26" s="2" t="s">
        <v>63</v>
      </c>
      <c r="AI26" s="2">
        <f t="shared" si="3"/>
        <v>1</v>
      </c>
      <c r="AJ26" s="2"/>
      <c r="AK26" s="2"/>
      <c r="AL26" s="2"/>
      <c r="AM26" s="2"/>
    </row>
    <row r="27" spans="1:39" ht="16" x14ac:dyDescent="0.2">
      <c r="A27" s="4">
        <v>45792.790254629632</v>
      </c>
      <c r="B27" s="2" t="s">
        <v>137</v>
      </c>
      <c r="C27" s="2"/>
      <c r="D27" s="2" t="s">
        <v>54</v>
      </c>
      <c r="E27" s="2">
        <v>20</v>
      </c>
      <c r="F27" s="2" t="s">
        <v>70</v>
      </c>
      <c r="G27" s="2">
        <v>2</v>
      </c>
      <c r="H27" s="2" t="s">
        <v>105</v>
      </c>
      <c r="I27" s="2">
        <v>4</v>
      </c>
      <c r="J27" s="2">
        <v>91740</v>
      </c>
      <c r="K27" s="2" t="s">
        <v>65</v>
      </c>
      <c r="L27" s="2" t="s">
        <v>81</v>
      </c>
      <c r="M27" s="2">
        <v>3</v>
      </c>
      <c r="N27" s="2" t="s">
        <v>138</v>
      </c>
      <c r="O27" s="2"/>
      <c r="P27" s="2" t="str" cm="1">
        <f t="array" ref="P27">_xlfn.IFS(OR(N27="Accounting", N27="BIA", N27="Business Analytics", N27="Business Information &amp; Analytics", N27="Business undecided", N27="Finance", N27="Finance &amp; Accounting", N27="Hospitality Management", N27="Hospitality Mgmt", N27="Hospitality management", N27="Interational Business", N27="International Business", N27="Management", N27="Marketing", N27="Real Estate"), "Daniels College of Business", OR(N27="Biology", N27="Chemistry", N27="Integrated Sciences", N27="Molecular Biology", N27="Molecular biology", N27="Physiology", N27="Physiology in health and disease", N27="Math"), "Natural Sciences &amp; Mathematics", OR(N27="Computer Science", N27="Mechanical engineering"), "Engineering &amp; Computer Science", OR(N27="Anthropology", N27="Communication and Media", N27="Communciations", N27="Economics", N27="Economics and Sociology", N27="Emergent Digital Practices", N27="Environmental Science", N27="Environmental science", N27="Gender studies", N27="International Studies", N27="International studies", N27="Journalism and Finance", N27="Journalism and International Studies", N27="Political Science", N27="Psychology", N27="Psychology &amp; Economics", N27="Psychology, French", N27="Psych &amp; spanish", N27="Psych and Spanish", N27="Public policy"), "Arts, Humanities &amp; Social Sciences", OR(N27="Ecology and Biodiversity", N27="Ecology and biodiversity"), "Natural Resources &amp; Sustainability")</f>
        <v>Arts, Humanities &amp; Social Sciences</v>
      </c>
      <c r="Q27" s="2">
        <f t="shared" si="0"/>
        <v>2</v>
      </c>
      <c r="R27" s="2">
        <v>10</v>
      </c>
      <c r="S27" s="2">
        <v>5</v>
      </c>
      <c r="T27" s="5">
        <v>45816</v>
      </c>
      <c r="U27" s="2">
        <v>0</v>
      </c>
      <c r="V27" s="2" t="s">
        <v>77</v>
      </c>
      <c r="W27" s="13">
        <f t="shared" si="1"/>
        <v>2</v>
      </c>
      <c r="X27" s="2" t="s">
        <v>61</v>
      </c>
      <c r="Y27" s="2" t="s">
        <v>68</v>
      </c>
      <c r="Z27" s="2">
        <f t="shared" si="2"/>
        <v>2</v>
      </c>
      <c r="AA27" s="2" t="s">
        <v>68</v>
      </c>
      <c r="AB27">
        <v>2</v>
      </c>
      <c r="AC27" s="2">
        <v>1</v>
      </c>
      <c r="AD27" s="2">
        <v>3</v>
      </c>
      <c r="AE27" s="2">
        <v>2</v>
      </c>
      <c r="AF27" s="2">
        <v>4</v>
      </c>
      <c r="AG27" s="2">
        <v>1</v>
      </c>
      <c r="AH27" s="2" t="s">
        <v>68</v>
      </c>
      <c r="AI27" s="2">
        <f t="shared" si="3"/>
        <v>2</v>
      </c>
      <c r="AJ27" s="2"/>
      <c r="AK27" s="2"/>
      <c r="AL27" s="2"/>
      <c r="AM27" s="2"/>
    </row>
    <row r="28" spans="1:39" ht="16" x14ac:dyDescent="0.2">
      <c r="A28" s="4">
        <v>45792.790324074071</v>
      </c>
      <c r="B28" s="2" t="s">
        <v>139</v>
      </c>
      <c r="C28" s="2"/>
      <c r="D28" s="2" t="s">
        <v>54</v>
      </c>
      <c r="E28" s="2">
        <v>18</v>
      </c>
      <c r="F28" s="2" t="s">
        <v>70</v>
      </c>
      <c r="G28" s="2">
        <v>2</v>
      </c>
      <c r="H28" s="2" t="s">
        <v>56</v>
      </c>
      <c r="I28" s="2">
        <v>1</v>
      </c>
      <c r="J28" s="2">
        <v>49635</v>
      </c>
      <c r="K28" s="2" t="s">
        <v>71</v>
      </c>
      <c r="L28" s="2" t="s">
        <v>72</v>
      </c>
      <c r="M28" s="2">
        <v>1</v>
      </c>
      <c r="N28" s="2" t="s">
        <v>140</v>
      </c>
      <c r="O28" s="2"/>
      <c r="P28" s="2" t="str" cm="1">
        <f t="array" ref="P28">_xlfn.IFS(OR(N28="Accounting", N28="BIA", N28="Business Analytics", N28="Business Information &amp; Analytics", N28="Business undecided", N28="Finance", N28="Finance &amp; Accounting", N28="Hospitality Management", N28="Hospitality Mgmt", N28="Hospitality management", N28="Interational Business", N28="International Business", N28="Management", N28="Marketing", N28="Real Estate"), "Daniels College of Business", OR(N28="Biology", N28="Chemistry", N28="Integrated Sciences", N28="Molecular Biology", N28="Molecular biology", N28="Physiology", N28="Physiology in health and disease", N28="Math"), "Natural Sciences &amp; Mathematics", OR(N28="Computer Science", N28="Mechanical engineering"), "Engineering &amp; Computer Science", OR(N28="Anthropology", N28="Communication and Media", N28="Communciations", N28="Economics", N28="Economics and Sociology", N28="Emergent Digital Practices", N28="Environmental Science", N28="Environmental science", N28="Gender studies", N28="International Studies", N28="International studies", N28="Journalism and Finance", N28="Journalism and International Studies", N28="Political Science", N28="Psychology", N28="Psychology &amp; Economics", N28="Psychology, French", N28="Psych &amp; spanish", N28="Psych and Spanish", N28="Public policy"), "Arts, Humanities &amp; Social Sciences", OR(N28="Ecology and Biodiversity", N28="Ecology and biodiversity"), "Natural Resources &amp; Sustainability")</f>
        <v>Arts, Humanities &amp; Social Sciences</v>
      </c>
      <c r="Q28" s="2">
        <f t="shared" si="0"/>
        <v>2</v>
      </c>
      <c r="R28" s="2">
        <v>8</v>
      </c>
      <c r="S28" s="2">
        <v>3</v>
      </c>
      <c r="T28" s="5">
        <v>45659</v>
      </c>
      <c r="U28" s="2">
        <v>0</v>
      </c>
      <c r="V28" s="2" t="s">
        <v>77</v>
      </c>
      <c r="W28" s="13">
        <f t="shared" si="1"/>
        <v>2</v>
      </c>
      <c r="X28" s="2" t="s">
        <v>61</v>
      </c>
      <c r="Y28" s="2" t="s">
        <v>68</v>
      </c>
      <c r="Z28" s="2">
        <f t="shared" si="2"/>
        <v>2</v>
      </c>
      <c r="AA28" s="2" t="s">
        <v>68</v>
      </c>
      <c r="AB28">
        <v>2</v>
      </c>
      <c r="AC28" s="2">
        <v>3</v>
      </c>
      <c r="AD28" s="2">
        <v>1</v>
      </c>
      <c r="AE28" s="2">
        <v>2</v>
      </c>
      <c r="AF28" s="2">
        <v>4</v>
      </c>
      <c r="AG28" s="2">
        <v>3</v>
      </c>
      <c r="AH28" s="2" t="s">
        <v>68</v>
      </c>
      <c r="AI28" s="2">
        <f t="shared" si="3"/>
        <v>2</v>
      </c>
      <c r="AJ28" s="2"/>
      <c r="AK28" s="2"/>
      <c r="AL28" s="2"/>
      <c r="AM28" s="2"/>
    </row>
    <row r="29" spans="1:39" ht="16" x14ac:dyDescent="0.2">
      <c r="A29" s="4">
        <v>45792.793912037036</v>
      </c>
      <c r="B29" s="2" t="s">
        <v>141</v>
      </c>
      <c r="C29" s="2"/>
      <c r="D29" s="2" t="s">
        <v>54</v>
      </c>
      <c r="E29" s="2">
        <v>21</v>
      </c>
      <c r="F29" s="2" t="s">
        <v>70</v>
      </c>
      <c r="G29" s="2">
        <v>2</v>
      </c>
      <c r="H29" s="2" t="s">
        <v>56</v>
      </c>
      <c r="I29" s="2">
        <v>1</v>
      </c>
      <c r="J29" s="2">
        <v>80210</v>
      </c>
      <c r="K29" s="2" t="s">
        <v>57</v>
      </c>
      <c r="L29" s="2" t="s">
        <v>72</v>
      </c>
      <c r="M29" s="2">
        <v>1</v>
      </c>
      <c r="N29" s="2" t="s">
        <v>131</v>
      </c>
      <c r="O29" s="2"/>
      <c r="P29" s="2" t="str" cm="1">
        <f t="array" ref="P29">_xlfn.IFS(OR(N29="Accounting", N29="BIA", N29="Business Analytics", N29="Business Information &amp; Analytics", N29="Business undecided", N29="Finance", N29="Finance &amp; Accounting", N29="Hospitality Management", N29="Hospitality Mgmt", N29="Hospitality management", N29="Interational Business", N29="International Business", N29="Management", N29="Marketing", N29="Real Estate"), "Daniels College of Business", OR(N29="Biology", N29="Chemistry", N29="Integrated Sciences", N29="Molecular Biology", N29="Molecular biology", N29="Physiology", N29="Physiology in health and disease", N29="Math"), "Natural Sciences &amp; Mathematics", OR(N29="Computer Science", N29="Mechanical engineering"), "Engineering &amp; Computer Science", OR(N29="Anthropology", N29="Communication and Media", N29="Communciations", N29="Economics", N29="Economics and Sociology", N29="Emergent Digital Practices", N29="Environmental Science", N29="Environmental science", N29="Gender studies", N29="International Studies", N29="International studies", N29="Journalism and Finance", N29="Journalism and International Studies", N29="Political Science", N29="Psychology", N29="Psychology &amp; Economics", N29="Psychology, French", N29="Psych &amp; spanish", N29="Psych and Spanish", N29="Public policy"), "Arts, Humanities &amp; Social Sciences", OR(N29="Ecology and Biodiversity", N29="Ecology and biodiversity"), "Natural Resources &amp; Sustainability")</f>
        <v>Arts, Humanities &amp; Social Sciences</v>
      </c>
      <c r="Q29" s="2">
        <f t="shared" si="0"/>
        <v>2</v>
      </c>
      <c r="R29" s="2">
        <v>6</v>
      </c>
      <c r="S29" s="2">
        <v>2</v>
      </c>
      <c r="T29" s="5">
        <v>45721</v>
      </c>
      <c r="U29" s="5">
        <v>45659</v>
      </c>
      <c r="V29" s="2" t="s">
        <v>77</v>
      </c>
      <c r="W29" s="13">
        <f t="shared" si="1"/>
        <v>2</v>
      </c>
      <c r="X29" s="2" t="s">
        <v>126</v>
      </c>
      <c r="Y29" s="2" t="s">
        <v>68</v>
      </c>
      <c r="Z29" s="2">
        <f t="shared" si="2"/>
        <v>2</v>
      </c>
      <c r="AA29" s="2" t="s">
        <v>68</v>
      </c>
      <c r="AB29">
        <v>2</v>
      </c>
      <c r="AC29" s="2">
        <v>1</v>
      </c>
      <c r="AD29" s="2">
        <v>4</v>
      </c>
      <c r="AE29" s="2">
        <v>3</v>
      </c>
      <c r="AF29" s="2">
        <v>2</v>
      </c>
      <c r="AG29" s="2">
        <v>2</v>
      </c>
      <c r="AH29" s="2" t="s">
        <v>68</v>
      </c>
      <c r="AI29" s="2">
        <f t="shared" si="3"/>
        <v>2</v>
      </c>
      <c r="AJ29" s="2"/>
      <c r="AK29" s="2"/>
      <c r="AL29" s="2"/>
      <c r="AM29" s="2"/>
    </row>
    <row r="30" spans="1:39" ht="16" x14ac:dyDescent="0.2">
      <c r="A30" s="4">
        <v>45792.821736111109</v>
      </c>
      <c r="B30" s="2" t="s">
        <v>142</v>
      </c>
      <c r="C30" s="2"/>
      <c r="D30" s="2" t="s">
        <v>54</v>
      </c>
      <c r="E30" s="2">
        <v>21</v>
      </c>
      <c r="F30" s="2" t="s">
        <v>70</v>
      </c>
      <c r="G30" s="2">
        <v>2</v>
      </c>
      <c r="H30" s="2" t="s">
        <v>56</v>
      </c>
      <c r="I30" s="2">
        <v>1</v>
      </c>
      <c r="J30" s="2">
        <v>80210</v>
      </c>
      <c r="K30" s="2" t="s">
        <v>93</v>
      </c>
      <c r="L30" s="2" t="s">
        <v>81</v>
      </c>
      <c r="M30" s="2">
        <v>3</v>
      </c>
      <c r="N30" s="2" t="s">
        <v>143</v>
      </c>
      <c r="O30" s="2"/>
      <c r="P30" s="2" t="s">
        <v>144</v>
      </c>
      <c r="Q30" s="2">
        <v>5</v>
      </c>
      <c r="R30" s="2">
        <v>7</v>
      </c>
      <c r="S30" s="2">
        <v>4</v>
      </c>
      <c r="T30" s="5">
        <v>45816</v>
      </c>
      <c r="U30" s="2">
        <v>0</v>
      </c>
      <c r="V30" s="2" t="s">
        <v>67</v>
      </c>
      <c r="W30" s="13">
        <f t="shared" si="1"/>
        <v>3</v>
      </c>
      <c r="X30" s="2" t="s">
        <v>61</v>
      </c>
      <c r="Y30" s="2" t="s">
        <v>68</v>
      </c>
      <c r="Z30" s="2">
        <f t="shared" si="2"/>
        <v>2</v>
      </c>
      <c r="AA30" s="2" t="s">
        <v>62</v>
      </c>
      <c r="AB30">
        <v>3</v>
      </c>
      <c r="AC30" s="2">
        <v>1</v>
      </c>
      <c r="AD30" s="2">
        <v>2</v>
      </c>
      <c r="AE30" s="2">
        <v>4</v>
      </c>
      <c r="AF30" s="2">
        <v>3</v>
      </c>
      <c r="AG30" s="2">
        <v>2</v>
      </c>
      <c r="AH30" s="2" t="s">
        <v>68</v>
      </c>
      <c r="AI30" s="2">
        <f t="shared" si="3"/>
        <v>2</v>
      </c>
      <c r="AJ30" s="2"/>
      <c r="AK30" s="2"/>
      <c r="AL30" s="2"/>
      <c r="AM30" s="2"/>
    </row>
    <row r="31" spans="1:39" ht="16" x14ac:dyDescent="0.2">
      <c r="A31" s="4">
        <v>45792.830682870372</v>
      </c>
      <c r="B31" s="2" t="s">
        <v>145</v>
      </c>
      <c r="C31" s="2"/>
      <c r="D31" s="2" t="s">
        <v>54</v>
      </c>
      <c r="E31" s="2">
        <v>19</v>
      </c>
      <c r="F31" s="2" t="s">
        <v>70</v>
      </c>
      <c r="G31" s="2">
        <v>2</v>
      </c>
      <c r="H31" s="2" t="s">
        <v>56</v>
      </c>
      <c r="I31" s="2">
        <v>1</v>
      </c>
      <c r="J31" s="2">
        <v>60093</v>
      </c>
      <c r="K31" s="2" t="s">
        <v>57</v>
      </c>
      <c r="L31" s="2" t="s">
        <v>81</v>
      </c>
      <c r="M31" s="2">
        <v>3</v>
      </c>
      <c r="N31" s="2" t="s">
        <v>86</v>
      </c>
      <c r="O31" s="2"/>
      <c r="P31" s="2" t="str" cm="1">
        <f t="array" ref="P31">_xlfn.IFS(OR(N31="Accounting", N31="BIA", N31="Business Analytics", N31="Business Information &amp; Analytics", N31="Business undecided", N31="Finance", N31="Finance &amp; Accounting", N31="Hospitality Management", N31="Hospitality Mgmt", N31="Hospitality management", N31="Interational Business", N31="International Business", N31="Management", N31="Marketing", N31="Real Estate"), "Daniels College of Business", OR(N31="Biology", N31="Chemistry", N31="Integrated Sciences", N31="Molecular Biology", N31="Molecular biology", N31="Physiology", N31="Physiology in health and disease", N31="Math"), "Natural Sciences &amp; Mathematics", OR(N31="Computer Science", N31="Mechanical engineering"), "Engineering &amp; Computer Science", OR(N31="Anthropology", N31="Communication and Media", N31="Communciations", N31="Economics", N31="Economics and Sociology", N31="Emergent Digital Practices", N31="Environmental Science", N31="Environmental science", N31="Gender studies", N31="International Studies", N31="International studies", N31="Journalism and Finance", N31="Journalism and International Studies", N31="Political Science", N31="Psychology", N31="Psychology &amp; Economics", N31="Psychology, French", N31="Psych &amp; spanish", N31="Psych and Spanish", N31="Public policy"), "Arts, Humanities &amp; Social Sciences", OR(N31="Ecology and Biodiversity", N31="Ecology and biodiversity"), "Natural Resources &amp; Sustainability")</f>
        <v>Engineering &amp; Computer Science</v>
      </c>
      <c r="Q31" s="2">
        <f t="shared" si="0"/>
        <v>3</v>
      </c>
      <c r="R31" s="2">
        <v>8</v>
      </c>
      <c r="S31" s="2">
        <v>3</v>
      </c>
      <c r="T31" s="5">
        <v>45721</v>
      </c>
      <c r="U31" s="5">
        <v>45659</v>
      </c>
      <c r="V31" s="2" t="s">
        <v>77</v>
      </c>
      <c r="W31" s="13">
        <f t="shared" si="1"/>
        <v>2</v>
      </c>
      <c r="X31" s="2" t="s">
        <v>146</v>
      </c>
      <c r="Y31" s="2" t="s">
        <v>68</v>
      </c>
      <c r="Z31" s="2">
        <f t="shared" si="2"/>
        <v>2</v>
      </c>
      <c r="AA31" s="2" t="s">
        <v>68</v>
      </c>
      <c r="AB31">
        <v>2</v>
      </c>
      <c r="AC31" s="2">
        <v>1</v>
      </c>
      <c r="AD31" s="2">
        <v>3</v>
      </c>
      <c r="AE31" s="2">
        <v>2</v>
      </c>
      <c r="AF31" s="2">
        <v>4</v>
      </c>
      <c r="AG31" s="2">
        <v>1</v>
      </c>
      <c r="AH31" s="2" t="s">
        <v>63</v>
      </c>
      <c r="AI31" s="2">
        <f t="shared" si="3"/>
        <v>1</v>
      </c>
      <c r="AJ31" s="2"/>
      <c r="AK31" s="2"/>
      <c r="AL31" s="2"/>
      <c r="AM31" s="2"/>
    </row>
    <row r="32" spans="1:39" ht="16" x14ac:dyDescent="0.2">
      <c r="A32" s="4">
        <v>45792.848402777781</v>
      </c>
      <c r="B32" s="2" t="s">
        <v>147</v>
      </c>
      <c r="C32" s="2"/>
      <c r="D32" s="2" t="s">
        <v>54</v>
      </c>
      <c r="E32" s="2">
        <v>21</v>
      </c>
      <c r="F32" s="2" t="s">
        <v>55</v>
      </c>
      <c r="G32" s="2">
        <v>1</v>
      </c>
      <c r="H32" s="2" t="s">
        <v>56</v>
      </c>
      <c r="I32" s="2">
        <v>1</v>
      </c>
      <c r="J32" s="2">
        <v>80210</v>
      </c>
      <c r="K32" s="2" t="s">
        <v>71</v>
      </c>
      <c r="L32" s="2" t="s">
        <v>66</v>
      </c>
      <c r="M32" s="2">
        <v>2</v>
      </c>
      <c r="N32" s="2" t="s">
        <v>82</v>
      </c>
      <c r="O32" s="2"/>
      <c r="P32" s="2" t="str" cm="1">
        <f t="array" ref="P32">_xlfn.IFS(OR(N32="Accounting", N32="BIA", N32="Business Analytics", N32="Business Information &amp; Analytics", N32="Business undecided", N32="Finance", N32="Finance &amp; Accounting", N32="Hospitality Management", N32="Hospitality Mgmt", N32="Hospitality management", N32="Interational Business", N32="International Business", N32="Management", N32="Marketing", N32="Real Estate"), "Daniels College of Business", OR(N32="Biology", N32="Chemistry", N32="Integrated Sciences", N32="Molecular Biology", N32="Molecular biology", N32="Physiology", N32="Physiology in health and disease", N32="Math"), "Natural Sciences &amp; Mathematics", OR(N32="Computer Science", N32="Mechanical engineering"), "Engineering &amp; Computer Science", OR(N32="Anthropology", N32="Communication and Media", N32="Communciations", N32="Economics", N32="Economics and Sociology", N32="Emergent Digital Practices", N32="Environmental Science", N32="Environmental science", N32="Gender studies", N32="International Studies", N32="International studies", N32="Journalism and Finance", N32="Journalism and International Studies", N32="Political Science", N32="Psychology", N32="Psychology &amp; Economics", N32="Psychology, French", N32="Psych &amp; spanish", N32="Psych and Spanish", N32="Public policy"), "Arts, Humanities &amp; Social Sciences", OR(N32="Ecology and Biodiversity", N32="Ecology and biodiversity"), "Natural Resources &amp; Sustainability")</f>
        <v>Natural Sciences &amp; Mathematics</v>
      </c>
      <c r="Q32" s="2">
        <f t="shared" si="0"/>
        <v>4</v>
      </c>
      <c r="R32" s="2">
        <v>10</v>
      </c>
      <c r="S32" s="2">
        <v>4</v>
      </c>
      <c r="T32" s="5">
        <v>45910</v>
      </c>
      <c r="U32" s="5">
        <v>45816</v>
      </c>
      <c r="V32" s="2" t="s">
        <v>60</v>
      </c>
      <c r="W32" s="13">
        <f t="shared" si="1"/>
        <v>4</v>
      </c>
      <c r="X32" s="2" t="s">
        <v>61</v>
      </c>
      <c r="Y32" s="2" t="s">
        <v>62</v>
      </c>
      <c r="Z32" s="2">
        <f t="shared" si="2"/>
        <v>3</v>
      </c>
      <c r="AA32" s="2" t="s">
        <v>62</v>
      </c>
      <c r="AB32">
        <v>3</v>
      </c>
      <c r="AC32" s="2">
        <v>4</v>
      </c>
      <c r="AD32" s="2">
        <v>1</v>
      </c>
      <c r="AE32" s="2">
        <v>2</v>
      </c>
      <c r="AF32" s="2">
        <v>3</v>
      </c>
      <c r="AG32" s="2">
        <v>4</v>
      </c>
      <c r="AH32" s="2" t="s">
        <v>107</v>
      </c>
      <c r="AI32" s="2">
        <f t="shared" si="3"/>
        <v>4</v>
      </c>
      <c r="AJ32" s="2"/>
      <c r="AK32" s="2"/>
      <c r="AL32" s="2"/>
      <c r="AM32" s="2"/>
    </row>
    <row r="33" spans="1:39" ht="16" x14ac:dyDescent="0.2">
      <c r="A33" s="4">
        <v>45792.854259259257</v>
      </c>
      <c r="B33" s="2" t="s">
        <v>148</v>
      </c>
      <c r="C33" s="2"/>
      <c r="D33" s="2" t="s">
        <v>54</v>
      </c>
      <c r="E33" s="2">
        <v>20</v>
      </c>
      <c r="F33" s="2" t="s">
        <v>70</v>
      </c>
      <c r="G33" s="2">
        <v>2</v>
      </c>
      <c r="H33" s="2" t="s">
        <v>149</v>
      </c>
      <c r="I33" s="2">
        <v>5</v>
      </c>
      <c r="J33" s="2">
        <v>34241</v>
      </c>
      <c r="K33" s="2" t="s">
        <v>65</v>
      </c>
      <c r="L33" s="2" t="s">
        <v>94</v>
      </c>
      <c r="M33" s="2">
        <v>4</v>
      </c>
      <c r="N33" s="2" t="s">
        <v>150</v>
      </c>
      <c r="O33" s="2"/>
      <c r="P33" s="2" t="str" cm="1">
        <f t="array" ref="P33">_xlfn.IFS(OR(N33="Accounting", N33="BIA", N33="Business Analytics", N33="Business Information &amp; Analytics", N33="Business undecided", N33="Finance", N33="Finance &amp; Accounting", N33="Hospitality Management", N33="Hospitality Mgmt", N33="Hospitality management", N33="Interational Business", N33="International Business", N33="Management", N33="Marketing", N33="Real Estate"), "Daniels College of Business", OR(N33="Biology", N33="Chemistry", N33="Integrated Sciences", N33="Molecular Biology", N33="Molecular biology", N33="Physiology", N33="Physiology in health and disease", N33="Math"), "Natural Sciences &amp; Mathematics", OR(N33="Computer Science", N33="Mechanical engineering"), "Engineering &amp; Computer Science", OR(N33="Anthropology", N33="Communication and Media", N33="Communciations", N33="Economics", N33="Economics and Sociology", N33="Emergent Digital Practices", N33="Environmental Science", N33="Environmental science", N33="Gender studies", N33="International Studies", N33="International studies", N33="Journalism and Finance", N33="Journalism and International Studies", N33="Political Science", N33="Psychology", N33="Psychology &amp; Economics", N33="Psychology, French", N33="Psych &amp; spanish", N33="Psych and Spanish", N33="Public policy"), "Arts, Humanities &amp; Social Sciences", OR(N33="Ecology and Biodiversity", N33="Ecology and biodiversity"), "Natural Resources &amp; Sustainability")</f>
        <v>Daniels College of Business</v>
      </c>
      <c r="Q33" s="2">
        <f t="shared" si="0"/>
        <v>1</v>
      </c>
      <c r="R33" s="2">
        <v>10</v>
      </c>
      <c r="S33" s="2">
        <v>3</v>
      </c>
      <c r="T33" s="5">
        <v>45659</v>
      </c>
      <c r="U33" s="5">
        <v>45721</v>
      </c>
      <c r="V33" s="2" t="s">
        <v>67</v>
      </c>
      <c r="W33" s="13">
        <f t="shared" si="1"/>
        <v>3</v>
      </c>
      <c r="X33" s="2" t="s">
        <v>146</v>
      </c>
      <c r="Y33" s="2" t="s">
        <v>68</v>
      </c>
      <c r="Z33" s="2">
        <f t="shared" si="2"/>
        <v>2</v>
      </c>
      <c r="AA33" s="2" t="s">
        <v>107</v>
      </c>
      <c r="AB33">
        <v>4</v>
      </c>
      <c r="AC33" s="2">
        <v>1</v>
      </c>
      <c r="AD33" s="2">
        <v>3</v>
      </c>
      <c r="AE33" s="2">
        <v>4</v>
      </c>
      <c r="AF33" s="2">
        <v>2</v>
      </c>
      <c r="AG33" s="2">
        <v>2</v>
      </c>
      <c r="AH33" s="2" t="s">
        <v>68</v>
      </c>
      <c r="AI33" s="2">
        <f t="shared" si="3"/>
        <v>2</v>
      </c>
      <c r="AJ33" s="2"/>
      <c r="AK33" s="2"/>
      <c r="AL33" s="2"/>
      <c r="AM33" s="2"/>
    </row>
    <row r="34" spans="1:39" ht="16" x14ac:dyDescent="0.2">
      <c r="A34" s="4">
        <v>45792.858611111114</v>
      </c>
      <c r="B34" s="2" t="s">
        <v>151</v>
      </c>
      <c r="C34" s="2"/>
      <c r="D34" s="2" t="s">
        <v>54</v>
      </c>
      <c r="E34" s="2">
        <v>21</v>
      </c>
      <c r="F34" s="2" t="s">
        <v>70</v>
      </c>
      <c r="G34" s="2">
        <v>2</v>
      </c>
      <c r="H34" s="2" t="s">
        <v>56</v>
      </c>
      <c r="I34" s="2">
        <v>1</v>
      </c>
      <c r="J34" s="2">
        <v>1983</v>
      </c>
      <c r="K34" s="2" t="s">
        <v>65</v>
      </c>
      <c r="L34" s="2" t="s">
        <v>81</v>
      </c>
      <c r="M34" s="2">
        <v>3</v>
      </c>
      <c r="N34" s="2" t="s">
        <v>152</v>
      </c>
      <c r="O34" s="2"/>
      <c r="P34" s="2" t="s">
        <v>91</v>
      </c>
      <c r="Q34" s="2">
        <f t="shared" si="0"/>
        <v>1</v>
      </c>
      <c r="R34" s="2">
        <v>9</v>
      </c>
      <c r="S34" s="2">
        <v>3</v>
      </c>
      <c r="T34" s="5">
        <v>45721</v>
      </c>
      <c r="U34" s="5">
        <v>45910</v>
      </c>
      <c r="V34" s="2" t="s">
        <v>67</v>
      </c>
      <c r="W34" s="13">
        <f t="shared" si="1"/>
        <v>3</v>
      </c>
      <c r="X34" s="2" t="s">
        <v>61</v>
      </c>
      <c r="Y34" s="2" t="s">
        <v>62</v>
      </c>
      <c r="Z34" s="2">
        <f t="shared" si="2"/>
        <v>3</v>
      </c>
      <c r="AA34" s="2" t="s">
        <v>62</v>
      </c>
      <c r="AB34">
        <v>3</v>
      </c>
      <c r="AC34" s="2">
        <v>2</v>
      </c>
      <c r="AD34" s="2">
        <v>1</v>
      </c>
      <c r="AE34" s="2">
        <v>3</v>
      </c>
      <c r="AF34" s="2">
        <v>4</v>
      </c>
      <c r="AG34" s="2">
        <v>3</v>
      </c>
      <c r="AH34" s="2" t="s">
        <v>101</v>
      </c>
      <c r="AI34" s="2">
        <f t="shared" si="3"/>
        <v>3</v>
      </c>
      <c r="AJ34" s="2"/>
      <c r="AK34" s="2"/>
      <c r="AL34" s="2"/>
      <c r="AM34" s="2"/>
    </row>
    <row r="35" spans="1:39" ht="16" x14ac:dyDescent="0.2">
      <c r="A35" s="4">
        <v>45792.878020833334</v>
      </c>
      <c r="B35" s="2" t="s">
        <v>153</v>
      </c>
      <c r="C35" s="2"/>
      <c r="D35" s="2" t="s">
        <v>54</v>
      </c>
      <c r="E35" s="2">
        <v>20</v>
      </c>
      <c r="F35" s="2" t="s">
        <v>70</v>
      </c>
      <c r="G35" s="2">
        <v>2</v>
      </c>
      <c r="H35" s="2" t="s">
        <v>56</v>
      </c>
      <c r="I35" s="2">
        <v>1</v>
      </c>
      <c r="J35" s="2">
        <v>11790</v>
      </c>
      <c r="K35" s="2" t="s">
        <v>71</v>
      </c>
      <c r="L35" s="2" t="s">
        <v>81</v>
      </c>
      <c r="M35" s="2">
        <v>3</v>
      </c>
      <c r="N35" s="2" t="s">
        <v>154</v>
      </c>
      <c r="O35" s="2"/>
      <c r="P35" s="2" t="s">
        <v>91</v>
      </c>
      <c r="Q35" s="2">
        <f t="shared" si="0"/>
        <v>1</v>
      </c>
      <c r="R35" s="2">
        <v>9</v>
      </c>
      <c r="S35" s="2">
        <v>3</v>
      </c>
      <c r="T35" s="5">
        <v>45721</v>
      </c>
      <c r="U35" s="5">
        <v>45659</v>
      </c>
      <c r="V35" s="2" t="s">
        <v>77</v>
      </c>
      <c r="W35" s="13">
        <f t="shared" si="1"/>
        <v>2</v>
      </c>
      <c r="X35" s="2" t="s">
        <v>95</v>
      </c>
      <c r="Y35" s="2" t="s">
        <v>68</v>
      </c>
      <c r="Z35" s="2">
        <f t="shared" si="2"/>
        <v>2</v>
      </c>
      <c r="AA35" s="2" t="s">
        <v>63</v>
      </c>
      <c r="AB35">
        <v>1</v>
      </c>
      <c r="AC35" s="2">
        <v>3</v>
      </c>
      <c r="AD35" s="2">
        <v>2</v>
      </c>
      <c r="AE35" s="2">
        <v>4</v>
      </c>
      <c r="AF35" s="2">
        <v>1</v>
      </c>
      <c r="AG35" s="2">
        <v>3</v>
      </c>
      <c r="AH35" s="2" t="s">
        <v>63</v>
      </c>
      <c r="AI35" s="2">
        <f t="shared" si="3"/>
        <v>1</v>
      </c>
      <c r="AJ35" s="2"/>
      <c r="AK35" s="2"/>
      <c r="AL35" s="2"/>
      <c r="AM35" s="2"/>
    </row>
    <row r="36" spans="1:39" ht="16" x14ac:dyDescent="0.2">
      <c r="A36" s="4">
        <v>45792.878020833334</v>
      </c>
      <c r="B36" s="2" t="s">
        <v>155</v>
      </c>
      <c r="C36" s="2"/>
      <c r="D36" s="2" t="s">
        <v>54</v>
      </c>
      <c r="E36" s="2">
        <v>20</v>
      </c>
      <c r="F36" s="2" t="s">
        <v>70</v>
      </c>
      <c r="G36" s="2">
        <v>2</v>
      </c>
      <c r="H36" s="2" t="s">
        <v>56</v>
      </c>
      <c r="I36" s="2">
        <v>1</v>
      </c>
      <c r="J36" s="2">
        <v>80210</v>
      </c>
      <c r="K36" s="2" t="s">
        <v>89</v>
      </c>
      <c r="L36" s="2" t="s">
        <v>81</v>
      </c>
      <c r="M36" s="2">
        <v>3</v>
      </c>
      <c r="N36" s="2" t="s">
        <v>133</v>
      </c>
      <c r="O36" s="2"/>
      <c r="P36" s="2" t="str" cm="1">
        <f t="array" ref="P36">_xlfn.IFS(OR(N36="Accounting", N36="BIA", N36="Business Analytics", N36="Business Information &amp; Analytics", N36="Business undecided", N36="Finance", N36="Finance &amp; Accounting", N36="Hospitality Management", N36="Hospitality Mgmt", N36="Hospitality management", N36="Interational Business", N36="International Business", N36="Management", N36="Marketing", N36="Real Estate"), "Daniels College of Business", OR(N36="Biology", N36="Chemistry", N36="Integrated Sciences", N36="Molecular Biology", N36="Molecular biology", N36="Physiology", N36="Physiology in health and disease", N36="Math"), "Natural Sciences &amp; Mathematics", OR(N36="Computer Science", N36="Mechanical engineering"), "Engineering &amp; Computer Science", OR(N36="Anthropology", N36="Communication and Media", N36="Communciations", N36="Economics", N36="Economics and Sociology", N36="Emergent Digital Practices", N36="Environmental Science", N36="Environmental science", N36="Gender studies", N36="International Studies", N36="International studies", N36="Journalism and Finance", N36="Journalism and International Studies", N36="Political Science", N36="Psychology", N36="Psychology &amp; Economics", N36="Psychology, French", N36="Psych &amp; spanish", N36="Psych and Spanish", N36="Public policy"), "Arts, Humanities &amp; Social Sciences", OR(N36="Ecology and Biodiversity", N36="Ecology and biodiversity"), "Natural Resources &amp; Sustainability")</f>
        <v>Natural Sciences &amp; Mathematics</v>
      </c>
      <c r="Q36" s="2">
        <f t="shared" si="0"/>
        <v>4</v>
      </c>
      <c r="R36" s="2">
        <v>2</v>
      </c>
      <c r="S36" s="2">
        <v>3</v>
      </c>
      <c r="T36" s="5">
        <v>45721</v>
      </c>
      <c r="U36" s="5">
        <v>45659</v>
      </c>
      <c r="V36" s="2" t="s">
        <v>77</v>
      </c>
      <c r="W36" s="13">
        <f t="shared" si="1"/>
        <v>2</v>
      </c>
      <c r="X36" s="2" t="s">
        <v>61</v>
      </c>
      <c r="Y36" s="2" t="s">
        <v>63</v>
      </c>
      <c r="Z36" s="2">
        <f t="shared" si="2"/>
        <v>1</v>
      </c>
      <c r="AA36" s="2" t="s">
        <v>63</v>
      </c>
      <c r="AB36">
        <v>1</v>
      </c>
      <c r="AC36" s="2">
        <v>2</v>
      </c>
      <c r="AD36" s="2">
        <v>4</v>
      </c>
      <c r="AE36" s="2">
        <v>1</v>
      </c>
      <c r="AF36" s="2">
        <v>3</v>
      </c>
      <c r="AG36" s="2">
        <v>1</v>
      </c>
      <c r="AH36" s="2" t="s">
        <v>68</v>
      </c>
      <c r="AI36" s="2">
        <f t="shared" si="3"/>
        <v>2</v>
      </c>
      <c r="AJ36" s="2"/>
      <c r="AK36" s="2"/>
      <c r="AL36" s="2"/>
      <c r="AM36" s="2"/>
    </row>
    <row r="37" spans="1:39" ht="16" x14ac:dyDescent="0.2">
      <c r="A37" s="4">
        <v>45792.880567129629</v>
      </c>
      <c r="B37" s="2" t="s">
        <v>156</v>
      </c>
      <c r="C37" s="2"/>
      <c r="D37" s="2" t="s">
        <v>54</v>
      </c>
      <c r="E37" s="2">
        <v>20</v>
      </c>
      <c r="F37" s="2" t="s">
        <v>70</v>
      </c>
      <c r="G37" s="2">
        <v>2</v>
      </c>
      <c r="H37" s="2" t="s">
        <v>56</v>
      </c>
      <c r="I37" s="2">
        <v>1</v>
      </c>
      <c r="J37" s="2">
        <v>80918</v>
      </c>
      <c r="K37" s="2" t="s">
        <v>93</v>
      </c>
      <c r="L37" s="2" t="s">
        <v>81</v>
      </c>
      <c r="M37" s="2">
        <v>3</v>
      </c>
      <c r="N37" s="2" t="s">
        <v>90</v>
      </c>
      <c r="O37" s="2"/>
      <c r="P37" s="2" t="s">
        <v>91</v>
      </c>
      <c r="Q37" s="2">
        <f t="shared" si="0"/>
        <v>1</v>
      </c>
      <c r="R37" s="2">
        <v>8</v>
      </c>
      <c r="S37" s="2">
        <v>2</v>
      </c>
      <c r="T37" s="2" t="s">
        <v>83</v>
      </c>
      <c r="U37" s="5">
        <v>45659</v>
      </c>
      <c r="V37" s="2" t="s">
        <v>67</v>
      </c>
      <c r="W37" s="13">
        <f t="shared" si="1"/>
        <v>3</v>
      </c>
      <c r="X37" s="2" t="s">
        <v>61</v>
      </c>
      <c r="Y37" s="2" t="s">
        <v>62</v>
      </c>
      <c r="Z37" s="2">
        <f t="shared" si="2"/>
        <v>3</v>
      </c>
      <c r="AA37" s="2" t="s">
        <v>68</v>
      </c>
      <c r="AB37">
        <v>2</v>
      </c>
      <c r="AC37" s="2">
        <v>2</v>
      </c>
      <c r="AD37" s="2">
        <v>1</v>
      </c>
      <c r="AE37" s="2">
        <v>4</v>
      </c>
      <c r="AF37" s="2">
        <v>3</v>
      </c>
      <c r="AG37" s="2">
        <v>3</v>
      </c>
      <c r="AH37" s="2" t="s">
        <v>68</v>
      </c>
      <c r="AI37" s="2">
        <f t="shared" si="3"/>
        <v>2</v>
      </c>
      <c r="AJ37" s="2"/>
      <c r="AK37" s="2"/>
      <c r="AL37" s="2"/>
      <c r="AM37" s="2"/>
    </row>
    <row r="38" spans="1:39" ht="16" x14ac:dyDescent="0.2">
      <c r="A38" s="4">
        <v>45792.885289351849</v>
      </c>
      <c r="B38" s="2" t="s">
        <v>157</v>
      </c>
      <c r="C38" s="2"/>
      <c r="D38" s="2" t="s">
        <v>54</v>
      </c>
      <c r="E38" s="2">
        <v>22</v>
      </c>
      <c r="F38" s="2" t="s">
        <v>70</v>
      </c>
      <c r="G38" s="2">
        <v>2</v>
      </c>
      <c r="H38" s="2" t="s">
        <v>56</v>
      </c>
      <c r="I38" s="2">
        <v>1</v>
      </c>
      <c r="J38" s="2">
        <v>63122</v>
      </c>
      <c r="K38" s="2" t="s">
        <v>57</v>
      </c>
      <c r="L38" s="2" t="s">
        <v>72</v>
      </c>
      <c r="M38" s="2">
        <v>1</v>
      </c>
      <c r="N38" s="2" t="s">
        <v>123</v>
      </c>
      <c r="O38" s="2"/>
      <c r="P38" s="2" t="str" cm="1">
        <f t="array" ref="P38">_xlfn.IFS(OR(N38="Accounting", N38="BIA", N38="Business Analytics", N38="Business Information &amp; Analytics", N38="Business undecided", N38="Finance", N38="Finance &amp; Accounting", N38="Hospitality Management", N38="Hospitality Mgmt", N38="Hospitality management", N38="Interational Business", N38="International Business", N38="Management", N38="Marketing", N38="Real Estate"), "Daniels College of Business", OR(N38="Biology", N38="Chemistry", N38="Integrated Sciences", N38="Molecular Biology", N38="Molecular biology", N38="Physiology", N38="Physiology in health and disease", N38="Math"), "Natural Sciences &amp; Mathematics", OR(N38="Computer Science", N38="Mechanical engineering"), "Engineering &amp; Computer Science", OR(N38="Anthropology", N38="Communication and Media", N38="Communciations", N38="Economics", N38="Economics and Sociology", N38="Emergent Digital Practices", N38="Environmental Science", N38="Environmental science", N38="Gender studies", N38="International Studies", N38="International studies", N38="Journalism and Finance", N38="Journalism and International Studies", N38="Political Science", N38="Psychology", N38="Psychology &amp; Economics", N38="Psychology, French", N38="Psych &amp; spanish", N38="Psych and Spanish", N38="Public policy"), "Arts, Humanities &amp; Social Sciences", OR(N38="Ecology and Biodiversity", N38="Ecology and biodiversity"), "Natural Resources &amp; Sustainability")</f>
        <v>Daniels College of Business</v>
      </c>
      <c r="Q38" s="2">
        <f t="shared" si="0"/>
        <v>1</v>
      </c>
      <c r="R38" s="2">
        <v>9</v>
      </c>
      <c r="S38" s="2">
        <v>5</v>
      </c>
      <c r="T38" s="2" t="s">
        <v>83</v>
      </c>
      <c r="U38" s="2">
        <v>0</v>
      </c>
      <c r="V38" s="2" t="s">
        <v>67</v>
      </c>
      <c r="W38" s="13">
        <f t="shared" si="1"/>
        <v>3</v>
      </c>
      <c r="X38" s="2" t="s">
        <v>158</v>
      </c>
      <c r="Y38" s="2" t="s">
        <v>68</v>
      </c>
      <c r="Z38" s="2">
        <f t="shared" si="2"/>
        <v>2</v>
      </c>
      <c r="AA38" s="2" t="s">
        <v>107</v>
      </c>
      <c r="AB38">
        <v>4</v>
      </c>
      <c r="AC38" s="2">
        <v>1</v>
      </c>
      <c r="AD38" s="2">
        <v>4</v>
      </c>
      <c r="AE38" s="2">
        <v>3</v>
      </c>
      <c r="AF38" s="2">
        <v>2</v>
      </c>
      <c r="AG38" s="2">
        <v>2</v>
      </c>
      <c r="AH38" s="2" t="s">
        <v>68</v>
      </c>
      <c r="AI38" s="2">
        <f t="shared" si="3"/>
        <v>2</v>
      </c>
      <c r="AJ38" s="2"/>
      <c r="AK38" s="2"/>
      <c r="AL38" s="2"/>
      <c r="AM38" s="2"/>
    </row>
    <row r="39" spans="1:39" ht="16" x14ac:dyDescent="0.2">
      <c r="A39" s="4">
        <v>45792.896631944444</v>
      </c>
      <c r="B39" s="2" t="s">
        <v>159</v>
      </c>
      <c r="C39" s="2"/>
      <c r="D39" s="2" t="s">
        <v>54</v>
      </c>
      <c r="E39" s="2">
        <v>21</v>
      </c>
      <c r="F39" s="2" t="s">
        <v>70</v>
      </c>
      <c r="G39" s="2">
        <v>2</v>
      </c>
      <c r="H39" s="2" t="s">
        <v>56</v>
      </c>
      <c r="I39" s="2">
        <v>1</v>
      </c>
      <c r="J39" s="2">
        <v>80210</v>
      </c>
      <c r="K39" s="2" t="s">
        <v>93</v>
      </c>
      <c r="L39" s="2" t="s">
        <v>94</v>
      </c>
      <c r="M39" s="2">
        <v>4</v>
      </c>
      <c r="N39" s="2" t="s">
        <v>160</v>
      </c>
      <c r="O39" s="2"/>
      <c r="P39" s="9" t="s">
        <v>161</v>
      </c>
      <c r="Q39" s="2">
        <v>2</v>
      </c>
      <c r="R39" s="2">
        <v>7</v>
      </c>
      <c r="S39" s="2">
        <v>3</v>
      </c>
      <c r="T39" s="2">
        <v>0</v>
      </c>
      <c r="U39" s="2">
        <v>0</v>
      </c>
      <c r="V39" s="2" t="s">
        <v>77</v>
      </c>
      <c r="W39" s="13">
        <f t="shared" si="1"/>
        <v>2</v>
      </c>
      <c r="X39" s="2" t="s">
        <v>61</v>
      </c>
      <c r="Y39" s="2" t="s">
        <v>68</v>
      </c>
      <c r="Z39" s="2">
        <f t="shared" si="2"/>
        <v>2</v>
      </c>
      <c r="AA39" s="2" t="s">
        <v>62</v>
      </c>
      <c r="AB39">
        <v>3</v>
      </c>
      <c r="AC39" s="2">
        <v>2</v>
      </c>
      <c r="AD39" s="2">
        <v>3</v>
      </c>
      <c r="AE39" s="2">
        <v>1</v>
      </c>
      <c r="AF39" s="2">
        <v>4</v>
      </c>
      <c r="AG39" s="2">
        <v>3</v>
      </c>
      <c r="AH39" s="2" t="s">
        <v>101</v>
      </c>
      <c r="AI39" s="2">
        <f t="shared" si="3"/>
        <v>3</v>
      </c>
      <c r="AJ39" s="2"/>
      <c r="AK39" s="2"/>
      <c r="AL39" s="2"/>
      <c r="AM39" s="2"/>
    </row>
    <row r="40" spans="1:39" ht="16" x14ac:dyDescent="0.2">
      <c r="A40" s="4">
        <v>45792.930289351854</v>
      </c>
      <c r="B40" s="2" t="s">
        <v>162</v>
      </c>
      <c r="C40" s="2"/>
      <c r="D40" s="2" t="s">
        <v>54</v>
      </c>
      <c r="E40" s="2">
        <v>20</v>
      </c>
      <c r="F40" s="2" t="s">
        <v>55</v>
      </c>
      <c r="G40" s="2">
        <v>1</v>
      </c>
      <c r="H40" s="2" t="s">
        <v>56</v>
      </c>
      <c r="I40" s="2">
        <v>1</v>
      </c>
      <c r="J40" s="2">
        <v>80210</v>
      </c>
      <c r="K40" s="2" t="s">
        <v>163</v>
      </c>
      <c r="L40" s="2" t="s">
        <v>81</v>
      </c>
      <c r="M40" s="2">
        <v>3</v>
      </c>
      <c r="N40" s="2" t="s">
        <v>164</v>
      </c>
      <c r="O40" s="2"/>
      <c r="P40" s="2" t="str" cm="1">
        <f t="array" ref="P40">_xlfn.IFS(OR(N40="Accounting", N40="BIA", N40="Business Analytics", N40="Business Information &amp; Analytics", N40="Business undecided", N40="Finance", N40="Finance &amp; Accounting", N40="Hospitality Management", N40="Hospitality Mgmt", N40="Hospitality management", N40="Interational Business", N40="International Business", N40="Management", N40="Marketing", N40="Real Estate"), "Daniels College of Business", OR(N40="Biology", N40="Chemistry", N40="Integrated Sciences", N40="Molecular Biology", N40="Molecular biology", N40="Physiology", N40="Physiology in health and disease", N40="Math"), "Natural Sciences &amp; Mathematics", OR(N40="Computer Science", N40="Mechanical engineering"), "Engineering &amp; Computer Science", OR(N40="Anthropology", N40="Communication and Media", N40="Communciations", N40="Economics", N40="Economics and Sociology", N40="Emergent Digital Practices", N40="Environmental Science", N40="Environmental science", N40="Gender studies", N40="International Studies", N40="International studies", N40="Journalism and Finance", N40="Journalism and International Studies", N40="Political Science", N40="Psychology", N40="Psychology &amp; Economics", N40="Psychology, French", N40="Psych &amp; spanish", N40="Psych and Spanish", N40="Public policy"), "Arts, Humanities &amp; Social Sciences", OR(N40="Ecology and Biodiversity", N40="Ecology and biodiversity"), "Natural Resources &amp; Sustainability")</f>
        <v>Arts, Humanities &amp; Social Sciences</v>
      </c>
      <c r="Q40" s="2">
        <f t="shared" si="0"/>
        <v>2</v>
      </c>
      <c r="R40" s="2">
        <v>2</v>
      </c>
      <c r="S40" s="2">
        <v>1</v>
      </c>
      <c r="T40" s="2">
        <v>0</v>
      </c>
      <c r="U40" s="2">
        <v>0</v>
      </c>
      <c r="V40" s="2" t="s">
        <v>77</v>
      </c>
      <c r="W40" s="13">
        <f t="shared" si="1"/>
        <v>2</v>
      </c>
      <c r="X40" s="2" t="s">
        <v>61</v>
      </c>
      <c r="Y40" s="2" t="s">
        <v>63</v>
      </c>
      <c r="Z40" s="2">
        <f t="shared" si="2"/>
        <v>1</v>
      </c>
      <c r="AA40" s="2" t="s">
        <v>68</v>
      </c>
      <c r="AB40">
        <v>2</v>
      </c>
      <c r="AC40" s="2">
        <v>1</v>
      </c>
      <c r="AD40" s="2">
        <v>4</v>
      </c>
      <c r="AE40" s="2">
        <v>3</v>
      </c>
      <c r="AF40" s="2">
        <v>2</v>
      </c>
      <c r="AG40" s="2">
        <v>1</v>
      </c>
      <c r="AH40" s="2" t="s">
        <v>63</v>
      </c>
      <c r="AI40" s="2">
        <f t="shared" si="3"/>
        <v>1</v>
      </c>
      <c r="AJ40" s="2"/>
      <c r="AK40" s="2"/>
      <c r="AL40" s="2"/>
      <c r="AM40" s="2"/>
    </row>
    <row r="41" spans="1:39" ht="16" x14ac:dyDescent="0.2">
      <c r="A41" s="4">
        <v>45792.938194444447</v>
      </c>
      <c r="B41" s="2" t="s">
        <v>165</v>
      </c>
      <c r="C41" s="2"/>
      <c r="D41" s="2" t="s">
        <v>54</v>
      </c>
      <c r="E41" s="2">
        <v>22</v>
      </c>
      <c r="F41" s="2" t="s">
        <v>55</v>
      </c>
      <c r="G41" s="2">
        <v>1</v>
      </c>
      <c r="H41" s="2" t="s">
        <v>56</v>
      </c>
      <c r="I41" s="2">
        <v>1</v>
      </c>
      <c r="J41" s="2">
        <v>80210</v>
      </c>
      <c r="K41" s="2" t="s">
        <v>89</v>
      </c>
      <c r="L41" s="2" t="s">
        <v>66</v>
      </c>
      <c r="M41" s="2">
        <v>2</v>
      </c>
      <c r="N41" s="2" t="s">
        <v>166</v>
      </c>
      <c r="O41" s="2"/>
      <c r="P41" s="2" t="str" cm="1">
        <f t="array" ref="P41">_xlfn.IFS(OR(N41="Accounting", N41="BIA", N41="Business Analytics", N41="Business Information &amp; Analytics", N41="Business undecided", N41="Finance", N41="Finance &amp; Accounting", N41="Hospitality Management", N41="Hospitality Mgmt", N41="Hospitality management", N41="Interational Business", N41="International Business", N41="Management", N41="Marketing", N41="Real Estate"), "Daniels College of Business", OR(N41="Biology", N41="Chemistry", N41="Integrated Sciences", N41="Molecular Biology", N41="Molecular biology", N41="Physiology", N41="Physiology in health and disease", N41="Math"), "Natural Sciences &amp; Mathematics", OR(N41="Computer Science", N41="Mechanical engineering"), "Engineering &amp; Computer Science", OR(N41="Anthropology", N41="Communication and Media", N41="Communciations", N41="Economics", N41="Economics and Sociology", N41="Emergent Digital Practices", N41="Environmental Science", N41="Environmental science", N41="Gender studies", N41="International Studies", N41="International studies", N41="Journalism and Finance", N41="Journalism and International Studies", N41="Political Science", N41="Psychology", N41="Psychology &amp; Economics", N41="Psychology, French", N41="Psych &amp; spanish", N41="Psych and Spanish", N41="Public policy"), "Arts, Humanities &amp; Social Sciences", OR(N41="Ecology and Biodiversity", N41="Ecology and biodiversity"), "Natural Resources &amp; Sustainability")</f>
        <v>Arts, Humanities &amp; Social Sciences</v>
      </c>
      <c r="Q41" s="2">
        <f t="shared" si="0"/>
        <v>2</v>
      </c>
      <c r="R41" s="2">
        <v>7</v>
      </c>
      <c r="S41" s="2">
        <v>3</v>
      </c>
      <c r="T41" s="2" t="s">
        <v>83</v>
      </c>
      <c r="U41" s="5">
        <v>45721</v>
      </c>
      <c r="V41" s="2" t="s">
        <v>67</v>
      </c>
      <c r="W41" s="13">
        <f t="shared" si="1"/>
        <v>3</v>
      </c>
      <c r="X41" s="2" t="s">
        <v>61</v>
      </c>
      <c r="Y41" s="2" t="s">
        <v>68</v>
      </c>
      <c r="Z41" s="2">
        <f t="shared" si="2"/>
        <v>2</v>
      </c>
      <c r="AA41" s="2" t="s">
        <v>62</v>
      </c>
      <c r="AB41">
        <v>3</v>
      </c>
      <c r="AC41" s="2">
        <v>4</v>
      </c>
      <c r="AD41" s="2">
        <v>3</v>
      </c>
      <c r="AE41" s="2">
        <v>1</v>
      </c>
      <c r="AF41" s="2">
        <v>2</v>
      </c>
      <c r="AG41" s="2">
        <v>1</v>
      </c>
      <c r="AH41" s="2" t="s">
        <v>63</v>
      </c>
      <c r="AI41" s="2">
        <f t="shared" si="3"/>
        <v>1</v>
      </c>
      <c r="AJ41" s="2"/>
      <c r="AK41" s="2"/>
      <c r="AL41" s="2"/>
      <c r="AM41" s="2"/>
    </row>
    <row r="42" spans="1:39" ht="16" x14ac:dyDescent="0.2">
      <c r="A42" s="4">
        <v>45792.949687499997</v>
      </c>
      <c r="B42" s="2" t="s">
        <v>167</v>
      </c>
      <c r="C42" s="2"/>
      <c r="D42" s="2" t="s">
        <v>54</v>
      </c>
      <c r="E42" s="2">
        <v>21</v>
      </c>
      <c r="F42" s="2" t="s">
        <v>70</v>
      </c>
      <c r="G42" s="2">
        <v>2</v>
      </c>
      <c r="H42" s="2" t="s">
        <v>149</v>
      </c>
      <c r="I42" s="2">
        <v>5</v>
      </c>
      <c r="J42" s="2">
        <v>75104</v>
      </c>
      <c r="K42" s="2" t="s">
        <v>163</v>
      </c>
      <c r="L42" s="2" t="s">
        <v>94</v>
      </c>
      <c r="M42" s="2">
        <v>4</v>
      </c>
      <c r="N42" s="2" t="s">
        <v>160</v>
      </c>
      <c r="O42" s="2"/>
      <c r="P42" s="10" t="s">
        <v>161</v>
      </c>
      <c r="Q42" s="2">
        <v>2</v>
      </c>
      <c r="R42" s="2">
        <v>5</v>
      </c>
      <c r="S42" s="2">
        <v>2</v>
      </c>
      <c r="T42" s="5">
        <v>45721</v>
      </c>
      <c r="U42" s="2">
        <v>0</v>
      </c>
      <c r="V42" s="2" t="s">
        <v>77</v>
      </c>
      <c r="W42" s="13">
        <f t="shared" si="1"/>
        <v>2</v>
      </c>
      <c r="X42" s="2" t="s">
        <v>78</v>
      </c>
      <c r="Y42" s="2" t="s">
        <v>62</v>
      </c>
      <c r="Z42" s="2">
        <f t="shared" si="2"/>
        <v>3</v>
      </c>
      <c r="AA42" s="2" t="s">
        <v>68</v>
      </c>
      <c r="AB42">
        <v>2</v>
      </c>
      <c r="AC42" s="2">
        <v>2</v>
      </c>
      <c r="AD42" s="2">
        <v>1</v>
      </c>
      <c r="AE42" s="2">
        <v>3</v>
      </c>
      <c r="AF42" s="2">
        <v>4</v>
      </c>
      <c r="AG42" s="2">
        <v>2</v>
      </c>
      <c r="AH42" s="2" t="s">
        <v>63</v>
      </c>
      <c r="AI42" s="2">
        <f t="shared" si="3"/>
        <v>1</v>
      </c>
      <c r="AJ42" s="2"/>
      <c r="AK42" s="2"/>
      <c r="AL42" s="2"/>
      <c r="AM42" s="2"/>
    </row>
    <row r="43" spans="1:39" ht="16" x14ac:dyDescent="0.2">
      <c r="A43" s="4">
        <v>45792.954409722224</v>
      </c>
      <c r="B43" s="2" t="s">
        <v>168</v>
      </c>
      <c r="C43" s="2"/>
      <c r="D43" s="2" t="s">
        <v>54</v>
      </c>
      <c r="E43" s="2">
        <v>21</v>
      </c>
      <c r="F43" s="2" t="s">
        <v>55</v>
      </c>
      <c r="G43" s="2">
        <v>1</v>
      </c>
      <c r="H43" s="2" t="s">
        <v>112</v>
      </c>
      <c r="I43" s="2">
        <v>3</v>
      </c>
      <c r="J43" s="2">
        <v>80210</v>
      </c>
      <c r="K43" s="2" t="s">
        <v>163</v>
      </c>
      <c r="L43" s="2" t="s">
        <v>81</v>
      </c>
      <c r="M43" s="2">
        <v>3</v>
      </c>
      <c r="N43" s="2" t="s">
        <v>116</v>
      </c>
      <c r="O43" s="2"/>
      <c r="P43" s="2" t="str" cm="1">
        <f t="array" ref="P43">_xlfn.IFS(OR(N43="Accounting", N43="BIA", N43="Business Analytics", N43="Business Information &amp; Analytics", N43="Business undecided", N43="Finance", N43="Finance &amp; Accounting", N43="Hospitality Management", N43="Hospitality Mgmt", N43="Hospitality management", N43="Interational Business", N43="International Business", N43="Management", N43="Marketing", N43="Real Estate"), "Daniels College of Business", OR(N43="Biology", N43="Chemistry", N43="Integrated Sciences", N43="Molecular Biology", N43="Molecular biology", N43="Physiology", N43="Physiology in health and disease", N43="Math"), "Natural Sciences &amp; Mathematics", OR(N43="Computer Science", N43="Mechanical engineering"), "Engineering &amp; Computer Science", OR(N43="Anthropology", N43="Communication and Media", N43="Communciations", N43="Economics", N43="Economics and Sociology", N43="Emergent Digital Practices", N43="Environmental Science", N43="Environmental science", N43="Gender studies", N43="International Studies", N43="International studies", N43="Journalism and Finance", N43="Journalism and International Studies", N43="Political Science", N43="Psychology", N43="Psychology &amp; Economics", N43="Psychology, French", N43="Psych &amp; spanish", N43="Psych and Spanish", N43="Public policy"), "Arts, Humanities &amp; Social Sciences", OR(N43="Ecology and Biodiversity", N43="Ecology and biodiversity"), "Natural Resources &amp; Sustainability")</f>
        <v>Engineering &amp; Computer Science</v>
      </c>
      <c r="Q43" s="2">
        <f t="shared" si="0"/>
        <v>3</v>
      </c>
      <c r="R43" s="2">
        <v>7</v>
      </c>
      <c r="S43" s="2">
        <v>4</v>
      </c>
      <c r="T43" s="5">
        <v>45659</v>
      </c>
      <c r="U43" s="5">
        <v>45659</v>
      </c>
      <c r="V43" s="2" t="s">
        <v>77</v>
      </c>
      <c r="W43" s="13">
        <f t="shared" si="1"/>
        <v>2</v>
      </c>
      <c r="X43" s="2" t="s">
        <v>61</v>
      </c>
      <c r="Y43" s="2" t="s">
        <v>62</v>
      </c>
      <c r="Z43" s="2">
        <f t="shared" si="2"/>
        <v>3</v>
      </c>
      <c r="AA43" s="2" t="s">
        <v>68</v>
      </c>
      <c r="AB43">
        <v>2</v>
      </c>
      <c r="AC43" s="2">
        <v>2</v>
      </c>
      <c r="AD43" s="2">
        <v>3</v>
      </c>
      <c r="AE43" s="2">
        <v>1</v>
      </c>
      <c r="AF43" s="2">
        <v>4</v>
      </c>
      <c r="AG43" s="2">
        <v>3</v>
      </c>
      <c r="AH43" s="2" t="s">
        <v>68</v>
      </c>
      <c r="AI43" s="2">
        <f t="shared" si="3"/>
        <v>2</v>
      </c>
      <c r="AJ43" s="2"/>
      <c r="AK43" s="2"/>
      <c r="AL43" s="2"/>
      <c r="AM43" s="2"/>
    </row>
    <row r="44" spans="1:39" ht="16" x14ac:dyDescent="0.2">
      <c r="A44" s="4">
        <v>45792.96947916667</v>
      </c>
      <c r="B44" s="2" t="s">
        <v>169</v>
      </c>
      <c r="C44" s="2"/>
      <c r="D44" s="2" t="s">
        <v>54</v>
      </c>
      <c r="E44" s="2">
        <v>21</v>
      </c>
      <c r="F44" s="2" t="s">
        <v>55</v>
      </c>
      <c r="G44" s="2">
        <v>1</v>
      </c>
      <c r="H44" s="2" t="s">
        <v>56</v>
      </c>
      <c r="I44" s="2">
        <v>1</v>
      </c>
      <c r="J44" s="2">
        <v>95172</v>
      </c>
      <c r="K44" s="2" t="s">
        <v>57</v>
      </c>
      <c r="L44" s="2" t="s">
        <v>81</v>
      </c>
      <c r="M44" s="2">
        <v>3</v>
      </c>
      <c r="N44" s="2" t="s">
        <v>125</v>
      </c>
      <c r="O44" s="2"/>
      <c r="P44" s="2" t="str" cm="1">
        <f t="array" ref="P44">_xlfn.IFS(OR(N44="Accounting", N44="BIA", N44="Business Analytics", N44="Business Information &amp; Analytics", N44="Business undecided", N44="Finance", N44="Finance &amp; Accounting", N44="Hospitality Management", N44="Hospitality Mgmt", N44="Hospitality management", N44="Interational Business", N44="International Business", N44="Management", N44="Marketing", N44="Real Estate"), "Daniels College of Business", OR(N44="Biology", N44="Chemistry", N44="Integrated Sciences", N44="Molecular Biology", N44="Molecular biology", N44="Physiology", N44="Physiology in health and disease", N44="Math"), "Natural Sciences &amp; Mathematics", OR(N44="Computer Science", N44="Mechanical engineering"), "Engineering &amp; Computer Science", OR(N44="Anthropology", N44="Communication and Media", N44="Communciations", N44="Economics", N44="Economics and Sociology", N44="Emergent Digital Practices", N44="Environmental Science", N44="Environmental science", N44="Gender studies", N44="International Studies", N44="International studies", N44="Journalism and Finance", N44="Journalism and International Studies", N44="Political Science", N44="Psychology", N44="Psychology &amp; Economics", N44="Psychology, French", N44="Psych &amp; spanish", N44="Psych and Spanish", N44="Public policy"), "Arts, Humanities &amp; Social Sciences", OR(N44="Ecology and Biodiversity", N44="Ecology and biodiversity"), "Natural Resources &amp; Sustainability")</f>
        <v>Daniels College of Business</v>
      </c>
      <c r="Q44" s="2">
        <f t="shared" si="0"/>
        <v>1</v>
      </c>
      <c r="R44" s="2">
        <v>8</v>
      </c>
      <c r="S44" s="2">
        <v>4</v>
      </c>
      <c r="T44" s="5">
        <v>45816</v>
      </c>
      <c r="U44" s="2">
        <v>0</v>
      </c>
      <c r="V44" s="2" t="s">
        <v>67</v>
      </c>
      <c r="W44" s="13">
        <f t="shared" si="1"/>
        <v>3</v>
      </c>
      <c r="X44" s="2" t="s">
        <v>61</v>
      </c>
      <c r="Y44" s="2" t="s">
        <v>68</v>
      </c>
      <c r="Z44" s="2">
        <f t="shared" si="2"/>
        <v>2</v>
      </c>
      <c r="AA44" s="2" t="s">
        <v>63</v>
      </c>
      <c r="AB44">
        <v>1</v>
      </c>
      <c r="AC44" s="2">
        <v>1</v>
      </c>
      <c r="AD44" s="2">
        <v>2</v>
      </c>
      <c r="AE44" s="2">
        <v>3</v>
      </c>
      <c r="AF44" s="2">
        <v>4</v>
      </c>
      <c r="AG44" s="2">
        <v>1</v>
      </c>
      <c r="AH44" s="2" t="s">
        <v>63</v>
      </c>
      <c r="AI44" s="2">
        <f t="shared" si="3"/>
        <v>1</v>
      </c>
      <c r="AJ44" s="2"/>
      <c r="AK44" s="2"/>
      <c r="AL44" s="2"/>
      <c r="AM44" s="2"/>
    </row>
    <row r="45" spans="1:39" ht="16" x14ac:dyDescent="0.2">
      <c r="A45" s="4">
        <v>45793.33425925926</v>
      </c>
      <c r="B45" s="2" t="s">
        <v>170</v>
      </c>
      <c r="C45" s="2"/>
      <c r="D45" s="2" t="s">
        <v>54</v>
      </c>
      <c r="E45" s="2">
        <v>20</v>
      </c>
      <c r="F45" s="2" t="s">
        <v>70</v>
      </c>
      <c r="G45" s="2">
        <v>2</v>
      </c>
      <c r="H45" s="2" t="s">
        <v>56</v>
      </c>
      <c r="I45" s="2">
        <v>1</v>
      </c>
      <c r="J45" s="2">
        <v>68512</v>
      </c>
      <c r="K45" s="2" t="s">
        <v>65</v>
      </c>
      <c r="L45" s="2" t="s">
        <v>94</v>
      </c>
      <c r="M45" s="2">
        <v>4</v>
      </c>
      <c r="N45" s="2" t="s">
        <v>97</v>
      </c>
      <c r="O45" s="2"/>
      <c r="P45" s="2" t="str" cm="1">
        <f t="array" ref="P45">_xlfn.IFS(OR(N45="Accounting", N45="BIA", N45="Business Analytics", N45="Business Information &amp; Analytics", N45="Business undecided", N45="Finance", N45="Finance &amp; Accounting", N45="Hospitality Management", N45="Hospitality Mgmt", N45="Hospitality management", N45="Interational Business", N45="International Business", N45="Management", N45="Marketing", N45="Real Estate"), "Daniels College of Business", OR(N45="Biology", N45="Chemistry", N45="Integrated Sciences", N45="Molecular Biology", N45="Molecular biology", N45="Physiology", N45="Physiology in health and disease", N45="Math"), "Natural Sciences &amp; Mathematics", OR(N45="Computer Science", N45="Mechanical engineering"), "Engineering &amp; Computer Science", OR(N45="Anthropology", N45="Communication and Media", N45="Communciations", N45="Economics", N45="Economics and Sociology", N45="Emergent Digital Practices", N45="Environmental Science", N45="Environmental science", N45="Gender studies", N45="International Studies", N45="International studies", N45="Journalism and Finance", N45="Journalism and International Studies", N45="Political Science", N45="Psychology", N45="Psychology &amp; Economics", N45="Psychology, French", N45="Psych &amp; spanish", N45="Psych and Spanish", N45="Public policy"), "Arts, Humanities &amp; Social Sciences", OR(N45="Ecology and Biodiversity", N45="Ecology and biodiversity"), "Natural Resources &amp; Sustainability")</f>
        <v>Arts, Humanities &amp; Social Sciences</v>
      </c>
      <c r="Q45" s="2">
        <f t="shared" si="0"/>
        <v>2</v>
      </c>
      <c r="R45" s="2">
        <v>8</v>
      </c>
      <c r="S45" s="2">
        <v>5</v>
      </c>
      <c r="T45" s="2" t="s">
        <v>83</v>
      </c>
      <c r="U45" s="5">
        <v>45721</v>
      </c>
      <c r="V45" s="2" t="s">
        <v>67</v>
      </c>
      <c r="W45" s="13">
        <f t="shared" si="1"/>
        <v>3</v>
      </c>
      <c r="X45" s="2" t="s">
        <v>146</v>
      </c>
      <c r="Y45" s="2" t="s">
        <v>62</v>
      </c>
      <c r="Z45" s="2">
        <f t="shared" si="2"/>
        <v>3</v>
      </c>
      <c r="AA45" s="2" t="s">
        <v>62</v>
      </c>
      <c r="AB45">
        <v>3</v>
      </c>
      <c r="AC45" s="2">
        <v>1</v>
      </c>
      <c r="AD45" s="2">
        <v>3</v>
      </c>
      <c r="AE45" s="2">
        <v>4</v>
      </c>
      <c r="AF45" s="2">
        <v>2</v>
      </c>
      <c r="AG45" s="2">
        <v>1</v>
      </c>
      <c r="AH45" s="2" t="s">
        <v>68</v>
      </c>
      <c r="AI45" s="2">
        <f t="shared" si="3"/>
        <v>2</v>
      </c>
      <c r="AJ45" s="2"/>
      <c r="AK45" s="2"/>
      <c r="AL45" s="2"/>
      <c r="AM45" s="2"/>
    </row>
    <row r="46" spans="1:39" ht="16" x14ac:dyDescent="0.2">
      <c r="A46" s="4">
        <v>45793.420127314814</v>
      </c>
      <c r="B46" s="2" t="s">
        <v>171</v>
      </c>
      <c r="C46" s="2"/>
      <c r="D46" s="2" t="s">
        <v>54</v>
      </c>
      <c r="E46" s="2">
        <v>19</v>
      </c>
      <c r="F46" s="2" t="s">
        <v>70</v>
      </c>
      <c r="G46" s="2">
        <v>2</v>
      </c>
      <c r="H46" s="2" t="s">
        <v>112</v>
      </c>
      <c r="I46" s="2">
        <v>3</v>
      </c>
      <c r="J46" s="2">
        <v>91006</v>
      </c>
      <c r="K46" s="2" t="s">
        <v>93</v>
      </c>
      <c r="L46" s="2" t="s">
        <v>66</v>
      </c>
      <c r="M46" s="2">
        <v>2</v>
      </c>
      <c r="N46" s="2" t="s">
        <v>172</v>
      </c>
      <c r="O46" s="2"/>
      <c r="P46" s="2" t="str" cm="1">
        <f t="array" ref="P46">_xlfn.IFS(OR(N46="Accounting", N46="BIA", N46="Business Analytics", N46="Business Information &amp; Analytics", N46="Business undecided", N46="Finance", N46="Finance &amp; Accounting", N46="Hospitality Management", N46="Hospitality Mgmt", N46="Hospitality management", N46="Interational Business", N46="International Business", N46="Management", N46="Marketing", N46="Real Estate"), "Daniels College of Business", OR(N46="Biology", N46="Chemistry", N46="Integrated Sciences", N46="Molecular Biology", N46="Molecular biology", N46="Physiology", N46="Physiology in health and disease", N46="Math"), "Natural Sciences &amp; Mathematics", OR(N46="Computer Science", N46="Mechanical engineering"), "Engineering &amp; Computer Science", OR(N46="Anthropology", N46="Communication and Media", N46="Communciations", N46="Economics", N46="Economics and Sociology", N46="Emergent Digital Practices", N46="Environmental Science", N46="Environmental science", N46="Gender studies", N46="International Studies", N46="International studies", N46="Journalism and Finance", N46="Journalism and International Studies", N46="Political Science", N46="Psychology", N46="Psychology &amp; Economics", N46="Psychology, French", N46="Psych &amp; spanish", N46="Psych and Spanish", N46="Public policy"), "Arts, Humanities &amp; Social Sciences", OR(N46="Ecology and Biodiversity", N46="Ecology and biodiversity"), "Natural Resources &amp; Sustainability")</f>
        <v>Daniels College of Business</v>
      </c>
      <c r="Q46" s="2">
        <f t="shared" si="0"/>
        <v>1</v>
      </c>
      <c r="R46" s="2">
        <v>9</v>
      </c>
      <c r="S46" s="2">
        <v>5</v>
      </c>
      <c r="T46" s="5">
        <v>45721</v>
      </c>
      <c r="U46" s="5">
        <v>45721</v>
      </c>
      <c r="V46" s="2" t="s">
        <v>77</v>
      </c>
      <c r="W46" s="13">
        <f t="shared" si="1"/>
        <v>2</v>
      </c>
      <c r="X46" s="2" t="s">
        <v>61</v>
      </c>
      <c r="Y46" s="2" t="s">
        <v>62</v>
      </c>
      <c r="Z46" s="2">
        <f t="shared" si="2"/>
        <v>3</v>
      </c>
      <c r="AA46" s="2" t="s">
        <v>62</v>
      </c>
      <c r="AB46">
        <v>3</v>
      </c>
      <c r="AC46" s="2">
        <v>1</v>
      </c>
      <c r="AD46" s="2">
        <v>3</v>
      </c>
      <c r="AE46" s="2">
        <v>4</v>
      </c>
      <c r="AF46" s="2">
        <v>2</v>
      </c>
      <c r="AG46" s="2">
        <v>3</v>
      </c>
      <c r="AH46" s="2" t="s">
        <v>101</v>
      </c>
      <c r="AI46" s="2">
        <f t="shared" si="3"/>
        <v>3</v>
      </c>
      <c r="AJ46" s="2"/>
      <c r="AK46" s="2"/>
      <c r="AL46" s="2"/>
      <c r="AM46" s="2"/>
    </row>
    <row r="47" spans="1:39" ht="16" x14ac:dyDescent="0.2">
      <c r="A47" s="4">
        <v>45793.421620370369</v>
      </c>
      <c r="B47" s="2" t="s">
        <v>173</v>
      </c>
      <c r="C47" s="2"/>
      <c r="D47" s="2" t="s">
        <v>54</v>
      </c>
      <c r="E47" s="2">
        <v>21</v>
      </c>
      <c r="F47" s="2" t="s">
        <v>70</v>
      </c>
      <c r="G47" s="2">
        <v>2</v>
      </c>
      <c r="H47" s="2" t="s">
        <v>56</v>
      </c>
      <c r="I47" s="2">
        <v>1</v>
      </c>
      <c r="J47" s="2">
        <v>80246</v>
      </c>
      <c r="K47" s="2" t="s">
        <v>65</v>
      </c>
      <c r="L47" s="2" t="s">
        <v>72</v>
      </c>
      <c r="M47" s="2">
        <v>1</v>
      </c>
      <c r="N47" s="2" t="s">
        <v>174</v>
      </c>
      <c r="O47" s="2"/>
      <c r="P47" s="2" t="s">
        <v>91</v>
      </c>
      <c r="Q47" s="2">
        <f t="shared" si="0"/>
        <v>1</v>
      </c>
      <c r="R47" s="2">
        <v>8</v>
      </c>
      <c r="S47" s="2">
        <v>3</v>
      </c>
      <c r="T47" s="5">
        <v>45816</v>
      </c>
      <c r="U47" s="5">
        <v>45659</v>
      </c>
      <c r="V47" s="2" t="s">
        <v>67</v>
      </c>
      <c r="W47" s="13">
        <f t="shared" si="1"/>
        <v>3</v>
      </c>
      <c r="X47" s="2" t="s">
        <v>110</v>
      </c>
      <c r="Y47" s="2" t="s">
        <v>68</v>
      </c>
      <c r="Z47" s="2">
        <f t="shared" si="2"/>
        <v>2</v>
      </c>
      <c r="AA47" s="2" t="s">
        <v>62</v>
      </c>
      <c r="AB47">
        <v>3</v>
      </c>
      <c r="AC47" s="2">
        <v>1</v>
      </c>
      <c r="AD47" s="2">
        <v>3</v>
      </c>
      <c r="AE47" s="2">
        <v>4</v>
      </c>
      <c r="AF47" s="2">
        <v>2</v>
      </c>
      <c r="AG47" s="2">
        <v>3</v>
      </c>
      <c r="AH47" s="2" t="s">
        <v>68</v>
      </c>
      <c r="AI47" s="2">
        <f t="shared" si="3"/>
        <v>2</v>
      </c>
      <c r="AJ47" s="2"/>
      <c r="AK47" s="2"/>
      <c r="AL47" s="2"/>
      <c r="AM47" s="2"/>
    </row>
    <row r="48" spans="1:39" ht="16" x14ac:dyDescent="0.2">
      <c r="A48" s="4">
        <v>45793.423067129632</v>
      </c>
      <c r="B48" s="2" t="s">
        <v>175</v>
      </c>
      <c r="C48" s="2"/>
      <c r="D48" s="2" t="s">
        <v>54</v>
      </c>
      <c r="E48" s="2">
        <v>21</v>
      </c>
      <c r="F48" s="2" t="s">
        <v>70</v>
      </c>
      <c r="G48" s="2">
        <v>2</v>
      </c>
      <c r="H48" s="2" t="s">
        <v>149</v>
      </c>
      <c r="I48" s="2">
        <v>5</v>
      </c>
      <c r="J48" s="2">
        <v>80122</v>
      </c>
      <c r="K48" s="2" t="s">
        <v>71</v>
      </c>
      <c r="L48" s="2" t="s">
        <v>81</v>
      </c>
      <c r="M48" s="2">
        <v>3</v>
      </c>
      <c r="N48" s="2" t="s">
        <v>90</v>
      </c>
      <c r="O48" s="2"/>
      <c r="P48" s="2" t="s">
        <v>91</v>
      </c>
      <c r="Q48" s="2">
        <f t="shared" si="0"/>
        <v>1</v>
      </c>
      <c r="R48" s="2">
        <v>9</v>
      </c>
      <c r="S48" s="2">
        <v>3</v>
      </c>
      <c r="T48" s="5">
        <v>45721</v>
      </c>
      <c r="U48" s="5">
        <v>45659</v>
      </c>
      <c r="V48" s="2" t="s">
        <v>67</v>
      </c>
      <c r="W48" s="13">
        <f t="shared" si="1"/>
        <v>3</v>
      </c>
      <c r="X48" s="2" t="s">
        <v>61</v>
      </c>
      <c r="Y48" s="2" t="s">
        <v>107</v>
      </c>
      <c r="Z48" s="2">
        <f t="shared" si="2"/>
        <v>4</v>
      </c>
      <c r="AA48" s="2" t="s">
        <v>62</v>
      </c>
      <c r="AB48">
        <v>3</v>
      </c>
      <c r="AC48" s="2">
        <v>2</v>
      </c>
      <c r="AD48" s="2">
        <v>3</v>
      </c>
      <c r="AE48" s="2">
        <v>1</v>
      </c>
      <c r="AF48" s="2">
        <v>4</v>
      </c>
      <c r="AG48" s="2">
        <v>4</v>
      </c>
      <c r="AH48" s="2" t="s">
        <v>107</v>
      </c>
      <c r="AI48" s="2">
        <f t="shared" si="3"/>
        <v>4</v>
      </c>
      <c r="AJ48" s="2"/>
      <c r="AK48" s="2"/>
      <c r="AL48" s="2"/>
      <c r="AM48" s="2"/>
    </row>
    <row r="49" spans="1:39" ht="16" x14ac:dyDescent="0.2">
      <c r="A49" s="4">
        <v>45793.44023148148</v>
      </c>
      <c r="B49" s="2" t="s">
        <v>176</v>
      </c>
      <c r="C49" s="2"/>
      <c r="D49" s="2" t="s">
        <v>54</v>
      </c>
      <c r="E49" s="2">
        <v>20</v>
      </c>
      <c r="F49" s="2" t="s">
        <v>70</v>
      </c>
      <c r="G49" s="2">
        <v>2</v>
      </c>
      <c r="H49" s="2" t="s">
        <v>56</v>
      </c>
      <c r="I49" s="2">
        <v>1</v>
      </c>
      <c r="J49" s="2">
        <v>80210</v>
      </c>
      <c r="K49" s="2" t="s">
        <v>71</v>
      </c>
      <c r="L49" s="2" t="s">
        <v>81</v>
      </c>
      <c r="M49" s="2">
        <v>3</v>
      </c>
      <c r="N49" s="2" t="s">
        <v>177</v>
      </c>
      <c r="O49" s="2"/>
      <c r="P49" s="2" t="s">
        <v>91</v>
      </c>
      <c r="Q49" s="2">
        <f t="shared" si="0"/>
        <v>1</v>
      </c>
      <c r="R49" s="2">
        <v>8</v>
      </c>
      <c r="S49" s="2">
        <v>4</v>
      </c>
      <c r="T49" s="2" t="s">
        <v>83</v>
      </c>
      <c r="U49" s="2">
        <v>0</v>
      </c>
      <c r="V49" s="2" t="s">
        <v>67</v>
      </c>
      <c r="W49" s="13">
        <f t="shared" si="1"/>
        <v>3</v>
      </c>
      <c r="X49" s="2" t="s">
        <v>61</v>
      </c>
      <c r="Y49" s="2" t="s">
        <v>62</v>
      </c>
      <c r="Z49" s="2">
        <f t="shared" si="2"/>
        <v>3</v>
      </c>
      <c r="AA49" s="2" t="s">
        <v>62</v>
      </c>
      <c r="AB49">
        <v>3</v>
      </c>
      <c r="AC49" s="2">
        <v>2</v>
      </c>
      <c r="AD49" s="2">
        <v>3</v>
      </c>
      <c r="AE49" s="2">
        <v>1</v>
      </c>
      <c r="AF49" s="2">
        <v>4</v>
      </c>
      <c r="AG49" s="2">
        <v>3</v>
      </c>
      <c r="AH49" s="2" t="s">
        <v>68</v>
      </c>
      <c r="AI49" s="2">
        <f t="shared" si="3"/>
        <v>2</v>
      </c>
      <c r="AJ49" s="2"/>
      <c r="AK49" s="2"/>
      <c r="AL49" s="2"/>
      <c r="AM49" s="2"/>
    </row>
    <row r="50" spans="1:39" ht="16" x14ac:dyDescent="0.2">
      <c r="A50" s="4">
        <v>45793.453460648147</v>
      </c>
      <c r="B50" s="2" t="s">
        <v>178</v>
      </c>
      <c r="C50" s="2"/>
      <c r="D50" s="2" t="s">
        <v>54</v>
      </c>
      <c r="E50" s="2">
        <v>21</v>
      </c>
      <c r="F50" s="2" t="s">
        <v>70</v>
      </c>
      <c r="G50" s="2">
        <v>2</v>
      </c>
      <c r="H50" s="2" t="s">
        <v>56</v>
      </c>
      <c r="I50" s="2">
        <v>1</v>
      </c>
      <c r="J50" s="2">
        <v>55436</v>
      </c>
      <c r="K50" s="2" t="s">
        <v>71</v>
      </c>
      <c r="L50" s="2" t="s">
        <v>66</v>
      </c>
      <c r="M50" s="2">
        <v>2</v>
      </c>
      <c r="N50" s="2" t="s">
        <v>160</v>
      </c>
      <c r="O50" s="2"/>
      <c r="P50" s="2" t="s">
        <v>161</v>
      </c>
      <c r="Q50" s="2">
        <v>2</v>
      </c>
      <c r="R50" s="2">
        <v>8</v>
      </c>
      <c r="S50" s="2">
        <v>4</v>
      </c>
      <c r="T50" s="5">
        <v>45659</v>
      </c>
      <c r="U50" s="2">
        <v>0</v>
      </c>
      <c r="V50" s="2" t="s">
        <v>77</v>
      </c>
      <c r="W50" s="13">
        <f t="shared" si="1"/>
        <v>2</v>
      </c>
      <c r="X50" s="2" t="s">
        <v>61</v>
      </c>
      <c r="Y50" s="2" t="s">
        <v>68</v>
      </c>
      <c r="Z50" s="2">
        <f t="shared" si="2"/>
        <v>2</v>
      </c>
      <c r="AA50" s="2" t="s">
        <v>68</v>
      </c>
      <c r="AB50">
        <v>2</v>
      </c>
      <c r="AC50" s="2">
        <v>2</v>
      </c>
      <c r="AD50" s="2">
        <v>1</v>
      </c>
      <c r="AE50" s="2">
        <v>4</v>
      </c>
      <c r="AF50" s="2">
        <v>3</v>
      </c>
      <c r="AG50" s="2">
        <v>2</v>
      </c>
      <c r="AH50" s="2" t="s">
        <v>63</v>
      </c>
      <c r="AI50" s="2">
        <f t="shared" si="3"/>
        <v>1</v>
      </c>
      <c r="AJ50" s="2"/>
      <c r="AK50" s="2"/>
      <c r="AL50" s="2"/>
      <c r="AM50" s="2"/>
    </row>
    <row r="51" spans="1:39" ht="16" x14ac:dyDescent="0.2">
      <c r="A51" s="4">
        <v>45793.471759259257</v>
      </c>
      <c r="B51" s="2" t="s">
        <v>179</v>
      </c>
      <c r="C51" s="2"/>
      <c r="D51" s="2" t="s">
        <v>54</v>
      </c>
      <c r="E51" s="2">
        <v>20</v>
      </c>
      <c r="F51" s="2" t="s">
        <v>70</v>
      </c>
      <c r="G51" s="2">
        <v>2</v>
      </c>
      <c r="H51" s="2" t="s">
        <v>56</v>
      </c>
      <c r="I51" s="2">
        <v>1</v>
      </c>
      <c r="J51" s="2">
        <v>80210</v>
      </c>
      <c r="K51" s="2" t="s">
        <v>65</v>
      </c>
      <c r="L51" s="2" t="s">
        <v>81</v>
      </c>
      <c r="M51" s="2">
        <v>3</v>
      </c>
      <c r="N51" s="2" t="s">
        <v>118</v>
      </c>
      <c r="O51" s="2"/>
      <c r="P51" s="2" t="s">
        <v>114</v>
      </c>
      <c r="Q51" s="2">
        <f t="shared" si="0"/>
        <v>4</v>
      </c>
      <c r="R51" s="2">
        <v>8</v>
      </c>
      <c r="S51" s="2">
        <v>3</v>
      </c>
      <c r="T51" s="5">
        <v>45721</v>
      </c>
      <c r="U51" s="2">
        <v>0</v>
      </c>
      <c r="V51" s="2" t="s">
        <v>67</v>
      </c>
      <c r="W51" s="13">
        <f t="shared" si="1"/>
        <v>3</v>
      </c>
      <c r="X51" s="2" t="s">
        <v>61</v>
      </c>
      <c r="Y51" s="2" t="s">
        <v>62</v>
      </c>
      <c r="Z51" s="2">
        <f t="shared" si="2"/>
        <v>3</v>
      </c>
      <c r="AA51" s="2" t="s">
        <v>68</v>
      </c>
      <c r="AB51">
        <v>2</v>
      </c>
      <c r="AC51" s="2">
        <v>1</v>
      </c>
      <c r="AD51" s="2">
        <v>3</v>
      </c>
      <c r="AE51" s="2">
        <v>4</v>
      </c>
      <c r="AF51" s="2">
        <v>2</v>
      </c>
      <c r="AG51" s="2">
        <v>2</v>
      </c>
      <c r="AH51" s="2" t="s">
        <v>63</v>
      </c>
      <c r="AI51" s="2">
        <f t="shared" si="3"/>
        <v>1</v>
      </c>
      <c r="AJ51" s="2"/>
      <c r="AK51" s="2"/>
      <c r="AL51" s="2"/>
      <c r="AM51" s="2"/>
    </row>
    <row r="52" spans="1:39" ht="16" x14ac:dyDescent="0.2">
      <c r="A52" s="4">
        <v>45793.591539351852</v>
      </c>
      <c r="B52" s="2" t="s">
        <v>180</v>
      </c>
      <c r="C52" s="2"/>
      <c r="D52" s="2" t="s">
        <v>54</v>
      </c>
      <c r="E52" s="2">
        <v>20</v>
      </c>
      <c r="F52" s="2" t="s">
        <v>70</v>
      </c>
      <c r="G52" s="2">
        <v>2</v>
      </c>
      <c r="H52" s="2" t="s">
        <v>56</v>
      </c>
      <c r="I52" s="2">
        <v>1</v>
      </c>
      <c r="J52" s="2">
        <v>17406</v>
      </c>
      <c r="K52" s="2" t="s">
        <v>65</v>
      </c>
      <c r="L52" s="2" t="s">
        <v>81</v>
      </c>
      <c r="M52" s="2">
        <v>3</v>
      </c>
      <c r="N52" s="2" t="s">
        <v>181</v>
      </c>
      <c r="O52" s="2"/>
      <c r="P52" s="2" t="str" cm="1">
        <f t="array" ref="P52">_xlfn.IFS(OR(N52="Accounting", N52="BIA", N52="Business Analytics", N52="Business Information &amp; Analytics", N52="Business undecided", N52="Finance", N52="Finance &amp; Accounting", N52="Hospitality Management", N52="Hospitality Mgmt", N52="Hospitality management", N52="Interational Business", N52="International Business", N52="Management", N52="Marketing", N52="Real Estate"), "Daniels College of Business", OR(N52="Biology", N52="Chemistry", N52="Integrated Sciences", N52="Molecular Biology", N52="Molecular biology", N52="Physiology", N52="Physiology in health and disease", N52="Math"), "Natural Sciences &amp; Mathematics", OR(N52="Computer Science", N52="Mechanical engineering"), "Engineering &amp; Computer Science", OR(N52="Anthropology", N52="Communication and Media", N52="Communciations", N52="Economics", N52="Economics and Sociology", N52="Emergent Digital Practices", N52="Environmental Science", N52="Environmental science", N52="Gender studies", N52="International Studies", N52="International studies", N52="Journalism and Finance", N52="Journalism and International Studies", N52="Political Science", N52="Psychology", N52="Psychology &amp; Economics", N52="Psychology, French", N52="Psych &amp; spanish", N52="Psych and Spanish", N52="Public policy"), "Arts, Humanities &amp; Social Sciences", OR(N52="Ecology and Biodiversity", N52="Ecology and biodiversity"), "Natural Resources &amp; Sustainability")</f>
        <v>Arts, Humanities &amp; Social Sciences</v>
      </c>
      <c r="Q52" s="2">
        <f t="shared" si="0"/>
        <v>2</v>
      </c>
      <c r="R52" s="2">
        <v>6</v>
      </c>
      <c r="S52" s="2">
        <v>2</v>
      </c>
      <c r="T52" s="5">
        <v>45721</v>
      </c>
      <c r="U52" s="5">
        <v>45659</v>
      </c>
      <c r="V52" s="2" t="s">
        <v>67</v>
      </c>
      <c r="W52" s="13">
        <f t="shared" si="1"/>
        <v>3</v>
      </c>
      <c r="X52" s="2" t="s">
        <v>87</v>
      </c>
      <c r="Y52" s="2" t="s">
        <v>68</v>
      </c>
      <c r="Z52" s="2">
        <f t="shared" si="2"/>
        <v>2</v>
      </c>
      <c r="AA52" s="2" t="s">
        <v>68</v>
      </c>
      <c r="AB52">
        <v>2</v>
      </c>
      <c r="AC52" s="2">
        <v>2</v>
      </c>
      <c r="AD52" s="2">
        <v>3</v>
      </c>
      <c r="AE52" s="2">
        <v>4</v>
      </c>
      <c r="AF52" s="2">
        <v>1</v>
      </c>
      <c r="AG52" s="2">
        <v>3</v>
      </c>
      <c r="AH52" s="2" t="s">
        <v>68</v>
      </c>
      <c r="AI52" s="2">
        <f t="shared" si="3"/>
        <v>2</v>
      </c>
      <c r="AJ52" s="2"/>
      <c r="AK52" s="2"/>
      <c r="AL52" s="2"/>
      <c r="AM52" s="2"/>
    </row>
    <row r="53" spans="1:39" ht="16" x14ac:dyDescent="0.2">
      <c r="A53" s="4">
        <v>45793.668634259258</v>
      </c>
      <c r="B53" s="2" t="s">
        <v>182</v>
      </c>
      <c r="C53" s="2"/>
      <c r="D53" s="2" t="s">
        <v>54</v>
      </c>
      <c r="E53" s="2">
        <v>22</v>
      </c>
      <c r="F53" s="2" t="s">
        <v>55</v>
      </c>
      <c r="G53" s="2">
        <v>1</v>
      </c>
      <c r="H53" s="2" t="s">
        <v>183</v>
      </c>
      <c r="I53" s="2">
        <v>2</v>
      </c>
      <c r="J53" s="2">
        <v>80210</v>
      </c>
      <c r="K53" s="2" t="s">
        <v>71</v>
      </c>
      <c r="L53" s="2" t="s">
        <v>66</v>
      </c>
      <c r="M53" s="2">
        <v>2</v>
      </c>
      <c r="N53" s="2" t="s">
        <v>184</v>
      </c>
      <c r="O53" s="2"/>
      <c r="P53" s="2" t="str" cm="1">
        <f t="array" ref="P53">_xlfn.IFS(OR(N53="Accounting", N53="BIA", N53="Business Analytics", N53="Business Information &amp; Analytics", N53="Business undecided", N53="Finance", N53="Finance &amp; Accounting", N53="Hospitality Management", N53="Hospitality Mgmt", N53="Hospitality management", N53="Interational Business", N53="International Business", N53="Management", N53="Marketing", N53="Real Estate"), "Daniels College of Business", OR(N53="Biology", N53="Chemistry", N53="Integrated Sciences", N53="Molecular Biology", N53="Molecular biology", N53="Physiology", N53="Physiology in health and disease", N53="Math"), "Natural Sciences &amp; Mathematics", OR(N53="Computer Science", N53="Mechanical engineering"), "Engineering &amp; Computer Science", OR(N53="Anthropology", N53="Communication and Media", N53="Communciations", N53="Economics", N53="Economics and Sociology", N53="Emergent Digital Practices", N53="Environmental Science", N53="Environmental science", N53="Gender studies", N53="International Studies", N53="International studies", N53="Journalism and Finance", N53="Journalism and International Studies", N53="Political Science", N53="Psychology", N53="Psychology &amp; Economics", N53="Psychology, French", N53="Psych &amp; spanish", N53="Psych and Spanish", N53="Public policy"), "Arts, Humanities &amp; Social Sciences", OR(N53="Ecology and Biodiversity", N53="Ecology and biodiversity"), "Natural Resources &amp; Sustainability")</f>
        <v>Arts, Humanities &amp; Social Sciences</v>
      </c>
      <c r="Q53" s="2">
        <f t="shared" si="0"/>
        <v>2</v>
      </c>
      <c r="R53" s="2">
        <v>10</v>
      </c>
      <c r="S53" s="2">
        <v>5</v>
      </c>
      <c r="T53" s="2">
        <v>0</v>
      </c>
      <c r="U53" s="2">
        <v>0</v>
      </c>
      <c r="V53" s="2" t="s">
        <v>119</v>
      </c>
      <c r="W53" s="13">
        <f t="shared" si="1"/>
        <v>1</v>
      </c>
      <c r="X53" s="2" t="s">
        <v>78</v>
      </c>
      <c r="Y53" s="2" t="s">
        <v>63</v>
      </c>
      <c r="Z53" s="2">
        <f t="shared" si="2"/>
        <v>1</v>
      </c>
      <c r="AA53" s="2" t="s">
        <v>63</v>
      </c>
      <c r="AB53">
        <v>1</v>
      </c>
      <c r="AC53" s="2">
        <v>2</v>
      </c>
      <c r="AD53" s="2">
        <v>3</v>
      </c>
      <c r="AE53" s="2">
        <v>4</v>
      </c>
      <c r="AF53" s="2">
        <v>1</v>
      </c>
      <c r="AG53" s="2">
        <v>1</v>
      </c>
      <c r="AH53" s="2" t="s">
        <v>63</v>
      </c>
      <c r="AI53" s="2">
        <f t="shared" si="3"/>
        <v>1</v>
      </c>
      <c r="AJ53" s="2"/>
      <c r="AK53" s="2"/>
      <c r="AL53" s="2"/>
      <c r="AM53" s="2"/>
    </row>
    <row r="54" spans="1:39" ht="16" x14ac:dyDescent="0.2">
      <c r="A54" s="4">
        <v>45793.687418981484</v>
      </c>
      <c r="B54" s="2" t="s">
        <v>185</v>
      </c>
      <c r="C54" s="2"/>
      <c r="D54" s="2" t="s">
        <v>54</v>
      </c>
      <c r="E54" s="2">
        <v>20</v>
      </c>
      <c r="F54" s="2" t="s">
        <v>70</v>
      </c>
      <c r="G54" s="2">
        <v>2</v>
      </c>
      <c r="H54" s="2" t="s">
        <v>183</v>
      </c>
      <c r="I54" s="2">
        <v>2</v>
      </c>
      <c r="J54" s="2">
        <v>80233</v>
      </c>
      <c r="K54" s="2" t="s">
        <v>186</v>
      </c>
      <c r="L54" s="2" t="s">
        <v>72</v>
      </c>
      <c r="M54" s="2">
        <v>1</v>
      </c>
      <c r="N54" s="2" t="s">
        <v>177</v>
      </c>
      <c r="O54" s="2"/>
      <c r="P54" s="2" t="s">
        <v>91</v>
      </c>
      <c r="Q54" s="2">
        <f t="shared" si="0"/>
        <v>1</v>
      </c>
      <c r="R54" s="2">
        <v>8</v>
      </c>
      <c r="S54" s="2">
        <v>4</v>
      </c>
      <c r="T54" s="5">
        <v>45721</v>
      </c>
      <c r="U54" s="5">
        <v>45721</v>
      </c>
      <c r="V54" s="2" t="s">
        <v>67</v>
      </c>
      <c r="W54" s="13">
        <f t="shared" si="1"/>
        <v>3</v>
      </c>
      <c r="X54" s="2" t="s">
        <v>61</v>
      </c>
      <c r="Y54" s="2" t="s">
        <v>68</v>
      </c>
      <c r="Z54" s="2">
        <f t="shared" si="2"/>
        <v>2</v>
      </c>
      <c r="AA54" s="2" t="s">
        <v>68</v>
      </c>
      <c r="AB54">
        <v>2</v>
      </c>
      <c r="AC54" s="2">
        <v>4</v>
      </c>
      <c r="AD54" s="2">
        <v>1</v>
      </c>
      <c r="AE54" s="2">
        <v>2</v>
      </c>
      <c r="AF54" s="2">
        <v>3</v>
      </c>
      <c r="AG54" s="2">
        <v>4</v>
      </c>
      <c r="AH54" s="2" t="s">
        <v>101</v>
      </c>
      <c r="AI54" s="2">
        <f t="shared" si="3"/>
        <v>3</v>
      </c>
      <c r="AJ54" s="2"/>
      <c r="AK54" s="2"/>
      <c r="AL54" s="2"/>
      <c r="AM54" s="2"/>
    </row>
    <row r="55" spans="1:39" ht="16" x14ac:dyDescent="0.2">
      <c r="A55" s="4">
        <v>45793.703877314816</v>
      </c>
      <c r="B55" s="2" t="s">
        <v>187</v>
      </c>
      <c r="C55" s="2"/>
      <c r="D55" s="2" t="s">
        <v>54</v>
      </c>
      <c r="E55" s="2">
        <v>20</v>
      </c>
      <c r="F55" s="2" t="s">
        <v>70</v>
      </c>
      <c r="G55" s="2">
        <v>2</v>
      </c>
      <c r="H55" s="2" t="s">
        <v>56</v>
      </c>
      <c r="I55" s="2">
        <v>1</v>
      </c>
      <c r="J55" s="2">
        <v>80210</v>
      </c>
      <c r="K55" s="2" t="s">
        <v>57</v>
      </c>
      <c r="L55" s="2" t="s">
        <v>94</v>
      </c>
      <c r="M55" s="2">
        <v>4</v>
      </c>
      <c r="N55" s="2" t="s">
        <v>97</v>
      </c>
      <c r="O55" s="2"/>
      <c r="P55" s="2" t="str" cm="1">
        <f t="array" ref="P55">_xlfn.IFS(OR(N55="Accounting", N55="BIA", N55="Business Analytics", N55="Business Information &amp; Analytics", N55="Business undecided", N55="Finance", N55="Finance &amp; Accounting", N55="Hospitality Management", N55="Hospitality Mgmt", N55="Hospitality management", N55="Interational Business", N55="International Business", N55="Management", N55="Marketing", N55="Real Estate"), "Daniels College of Business", OR(N55="Biology", N55="Chemistry", N55="Integrated Sciences", N55="Molecular Biology", N55="Molecular biology", N55="Physiology", N55="Physiology in health and disease", N55="Math"), "Natural Sciences &amp; Mathematics", OR(N55="Computer Science", N55="Mechanical engineering"), "Engineering &amp; Computer Science", OR(N55="Anthropology", N55="Communication and Media", N55="Communciations", N55="Economics", N55="Economics and Sociology", N55="Emergent Digital Practices", N55="Environmental Science", N55="Environmental science", N55="Gender studies", N55="International Studies", N55="International studies", N55="Journalism and Finance", N55="Journalism and International Studies", N55="Political Science", N55="Psychology", N55="Psychology &amp; Economics", N55="Psychology, French", N55="Psych &amp; spanish", N55="Psych and Spanish", N55="Public policy"), "Arts, Humanities &amp; Social Sciences", OR(N55="Ecology and Biodiversity", N55="Ecology and biodiversity"), "Natural Resources &amp; Sustainability")</f>
        <v>Arts, Humanities &amp; Social Sciences</v>
      </c>
      <c r="Q55" s="2">
        <f t="shared" si="0"/>
        <v>2</v>
      </c>
      <c r="R55" s="2">
        <v>7</v>
      </c>
      <c r="S55" s="2">
        <v>4</v>
      </c>
      <c r="T55" s="5">
        <v>45721</v>
      </c>
      <c r="U55" s="2">
        <v>0</v>
      </c>
      <c r="V55" s="2" t="s">
        <v>77</v>
      </c>
      <c r="W55" s="13">
        <f t="shared" si="1"/>
        <v>2</v>
      </c>
      <c r="X55" s="2" t="s">
        <v>78</v>
      </c>
      <c r="Y55" s="2" t="s">
        <v>62</v>
      </c>
      <c r="Z55" s="2">
        <f t="shared" si="2"/>
        <v>3</v>
      </c>
      <c r="AA55" s="2" t="s">
        <v>68</v>
      </c>
      <c r="AB55">
        <v>2</v>
      </c>
      <c r="AC55" s="2">
        <v>1</v>
      </c>
      <c r="AD55" s="2">
        <v>2</v>
      </c>
      <c r="AE55" s="2">
        <v>3</v>
      </c>
      <c r="AF55" s="2">
        <v>4</v>
      </c>
      <c r="AG55" s="2">
        <v>1</v>
      </c>
      <c r="AH55" s="2" t="s">
        <v>63</v>
      </c>
      <c r="AI55" s="2">
        <f t="shared" si="3"/>
        <v>1</v>
      </c>
      <c r="AJ55" s="2"/>
      <c r="AK55" s="2"/>
      <c r="AL55" s="2"/>
      <c r="AM55" s="2"/>
    </row>
    <row r="56" spans="1:39" ht="16" x14ac:dyDescent="0.2">
      <c r="A56" s="4">
        <v>45793.703923611109</v>
      </c>
      <c r="B56" s="2" t="s">
        <v>188</v>
      </c>
      <c r="C56" s="2"/>
      <c r="D56" s="2" t="s">
        <v>54</v>
      </c>
      <c r="E56" s="2">
        <v>20</v>
      </c>
      <c r="F56" s="2" t="s">
        <v>55</v>
      </c>
      <c r="G56" s="2">
        <v>1</v>
      </c>
      <c r="H56" s="2" t="s">
        <v>56</v>
      </c>
      <c r="I56" s="2">
        <v>1</v>
      </c>
      <c r="J56" s="2">
        <v>80210</v>
      </c>
      <c r="K56" s="2" t="s">
        <v>65</v>
      </c>
      <c r="L56" s="2" t="s">
        <v>81</v>
      </c>
      <c r="M56" s="2">
        <v>3</v>
      </c>
      <c r="N56" s="2" t="s">
        <v>189</v>
      </c>
      <c r="O56" s="2"/>
      <c r="P56" s="2" t="s">
        <v>190</v>
      </c>
      <c r="Q56" s="2" t="str">
        <f t="shared" si="0"/>
        <v/>
      </c>
      <c r="R56" s="2">
        <v>6</v>
      </c>
      <c r="S56" s="2">
        <v>2</v>
      </c>
      <c r="T56" s="2">
        <v>0</v>
      </c>
      <c r="U56" s="5">
        <v>45659</v>
      </c>
      <c r="V56" s="2" t="s">
        <v>119</v>
      </c>
      <c r="W56" s="13">
        <f t="shared" si="1"/>
        <v>1</v>
      </c>
      <c r="X56" s="2" t="s">
        <v>95</v>
      </c>
      <c r="Y56" s="2" t="s">
        <v>68</v>
      </c>
      <c r="Z56" s="2">
        <f t="shared" si="2"/>
        <v>2</v>
      </c>
      <c r="AA56" s="2" t="s">
        <v>68</v>
      </c>
      <c r="AB56">
        <v>2</v>
      </c>
      <c r="AC56" s="2">
        <v>1</v>
      </c>
      <c r="AD56" s="2">
        <v>2</v>
      </c>
      <c r="AE56" s="2">
        <v>4</v>
      </c>
      <c r="AF56" s="2">
        <v>3</v>
      </c>
      <c r="AG56" s="2">
        <v>2</v>
      </c>
      <c r="AH56" s="2" t="s">
        <v>63</v>
      </c>
      <c r="AI56" s="2">
        <f t="shared" si="3"/>
        <v>1</v>
      </c>
      <c r="AJ56" s="2"/>
      <c r="AK56" s="2"/>
      <c r="AL56" s="2"/>
      <c r="AM56" s="2"/>
    </row>
    <row r="57" spans="1:39" ht="16" x14ac:dyDescent="0.2">
      <c r="A57" s="4">
        <v>45793.704131944447</v>
      </c>
      <c r="B57" s="2" t="s">
        <v>191</v>
      </c>
      <c r="C57" s="2"/>
      <c r="D57" s="2" t="s">
        <v>54</v>
      </c>
      <c r="E57" s="2">
        <v>21</v>
      </c>
      <c r="F57" s="2" t="s">
        <v>70</v>
      </c>
      <c r="G57" s="2">
        <v>2</v>
      </c>
      <c r="H57" s="2" t="s">
        <v>56</v>
      </c>
      <c r="I57" s="2">
        <v>1</v>
      </c>
      <c r="J57" s="2">
        <v>93901</v>
      </c>
      <c r="K57" s="2" t="s">
        <v>93</v>
      </c>
      <c r="L57" s="2" t="s">
        <v>81</v>
      </c>
      <c r="M57" s="2">
        <v>3</v>
      </c>
      <c r="N57" s="2" t="s">
        <v>154</v>
      </c>
      <c r="O57" s="2"/>
      <c r="P57" s="2" t="s">
        <v>91</v>
      </c>
      <c r="Q57" s="2">
        <f t="shared" si="0"/>
        <v>1</v>
      </c>
      <c r="R57" s="2">
        <v>8</v>
      </c>
      <c r="S57" s="2">
        <v>2</v>
      </c>
      <c r="T57" s="5">
        <v>45721</v>
      </c>
      <c r="U57" s="5">
        <v>45659</v>
      </c>
      <c r="V57" s="2" t="s">
        <v>77</v>
      </c>
      <c r="W57" s="13">
        <f t="shared" si="1"/>
        <v>2</v>
      </c>
      <c r="X57" s="2" t="s">
        <v>84</v>
      </c>
      <c r="Y57" s="2" t="s">
        <v>63</v>
      </c>
      <c r="Z57" s="2">
        <f t="shared" si="2"/>
        <v>1</v>
      </c>
      <c r="AA57" s="2" t="s">
        <v>68</v>
      </c>
      <c r="AB57">
        <v>2</v>
      </c>
      <c r="AC57" s="2">
        <v>3</v>
      </c>
      <c r="AD57" s="2">
        <v>1</v>
      </c>
      <c r="AE57" s="2">
        <v>2</v>
      </c>
      <c r="AF57" s="2">
        <v>4</v>
      </c>
      <c r="AG57" s="2">
        <v>1</v>
      </c>
      <c r="AH57" s="2" t="s">
        <v>63</v>
      </c>
      <c r="AI57" s="2">
        <f t="shared" si="3"/>
        <v>1</v>
      </c>
      <c r="AJ57" s="2"/>
      <c r="AK57" s="2"/>
      <c r="AL57" s="2"/>
      <c r="AM57" s="2"/>
    </row>
    <row r="58" spans="1:39" ht="16" x14ac:dyDescent="0.2">
      <c r="A58" s="4">
        <v>45793.948171296295</v>
      </c>
      <c r="B58" s="2" t="s">
        <v>192</v>
      </c>
      <c r="C58" s="2"/>
      <c r="D58" s="2" t="s">
        <v>54</v>
      </c>
      <c r="E58" s="2">
        <v>20</v>
      </c>
      <c r="F58" s="2" t="s">
        <v>70</v>
      </c>
      <c r="G58" s="2">
        <v>2</v>
      </c>
      <c r="H58" s="2" t="s">
        <v>56</v>
      </c>
      <c r="I58" s="2">
        <v>1</v>
      </c>
      <c r="J58" s="2">
        <v>2818</v>
      </c>
      <c r="K58" s="2" t="s">
        <v>57</v>
      </c>
      <c r="L58" s="2" t="s">
        <v>81</v>
      </c>
      <c r="M58" s="2">
        <v>3</v>
      </c>
      <c r="N58" s="2" t="s">
        <v>193</v>
      </c>
      <c r="O58" s="2"/>
      <c r="P58" t="s">
        <v>114</v>
      </c>
      <c r="Q58" s="2">
        <f t="shared" si="0"/>
        <v>4</v>
      </c>
      <c r="R58" s="2">
        <v>7</v>
      </c>
      <c r="S58" s="2">
        <v>2</v>
      </c>
      <c r="T58" s="5">
        <v>45816</v>
      </c>
      <c r="U58" s="2">
        <v>0</v>
      </c>
      <c r="V58" s="2" t="s">
        <v>67</v>
      </c>
      <c r="W58" s="13">
        <f t="shared" si="1"/>
        <v>3</v>
      </c>
      <c r="X58" s="2" t="s">
        <v>146</v>
      </c>
      <c r="Y58" s="2" t="s">
        <v>68</v>
      </c>
      <c r="Z58" s="2">
        <f t="shared" si="2"/>
        <v>2</v>
      </c>
      <c r="AA58" s="2" t="s">
        <v>68</v>
      </c>
      <c r="AB58">
        <v>2</v>
      </c>
      <c r="AC58" s="2">
        <v>1</v>
      </c>
      <c r="AD58" s="2">
        <v>1</v>
      </c>
      <c r="AE58" s="2">
        <v>4</v>
      </c>
      <c r="AF58" s="2">
        <v>3</v>
      </c>
      <c r="AG58" s="2">
        <v>2</v>
      </c>
      <c r="AH58" s="2" t="s">
        <v>68</v>
      </c>
      <c r="AI58" s="2">
        <f t="shared" si="3"/>
        <v>2</v>
      </c>
      <c r="AJ58" s="2"/>
      <c r="AK58" s="2"/>
      <c r="AL58" s="2"/>
      <c r="AM58" s="2"/>
    </row>
    <row r="59" spans="1:39" ht="16" x14ac:dyDescent="0.2">
      <c r="A59" s="4">
        <v>45794.613379629627</v>
      </c>
      <c r="B59" s="2" t="s">
        <v>194</v>
      </c>
      <c r="C59" s="2"/>
      <c r="D59" s="2" t="s">
        <v>54</v>
      </c>
      <c r="E59" s="2">
        <v>18</v>
      </c>
      <c r="F59" s="2" t="s">
        <v>70</v>
      </c>
      <c r="G59" s="2">
        <v>2</v>
      </c>
      <c r="H59" s="2" t="s">
        <v>183</v>
      </c>
      <c r="I59" s="2">
        <v>2</v>
      </c>
      <c r="J59" s="2">
        <v>38127</v>
      </c>
      <c r="K59" s="2" t="s">
        <v>195</v>
      </c>
      <c r="L59" s="2" t="s">
        <v>66</v>
      </c>
      <c r="M59" s="2">
        <v>2</v>
      </c>
      <c r="N59" s="2" t="s">
        <v>196</v>
      </c>
      <c r="O59" s="2"/>
      <c r="P59" s="2" t="s">
        <v>144</v>
      </c>
      <c r="Q59" s="2">
        <v>5</v>
      </c>
      <c r="R59" s="2">
        <v>1</v>
      </c>
      <c r="S59" s="2">
        <v>1</v>
      </c>
      <c r="T59" s="5">
        <v>45816</v>
      </c>
      <c r="U59" s="2">
        <v>0</v>
      </c>
      <c r="V59" s="2" t="s">
        <v>77</v>
      </c>
      <c r="W59" s="13">
        <f t="shared" si="1"/>
        <v>2</v>
      </c>
      <c r="X59" s="2" t="s">
        <v>95</v>
      </c>
      <c r="Y59" s="2" t="s">
        <v>63</v>
      </c>
      <c r="Z59" s="2">
        <f t="shared" si="2"/>
        <v>1</v>
      </c>
      <c r="AA59" s="2" t="s">
        <v>62</v>
      </c>
      <c r="AB59">
        <v>3</v>
      </c>
      <c r="AC59" s="2">
        <v>4</v>
      </c>
      <c r="AD59" s="2">
        <v>1</v>
      </c>
      <c r="AE59" s="2">
        <v>3</v>
      </c>
      <c r="AF59" s="2">
        <v>2</v>
      </c>
      <c r="AG59" s="2">
        <v>2</v>
      </c>
      <c r="AH59" s="2" t="s">
        <v>63</v>
      </c>
      <c r="AI59" s="2">
        <f t="shared" si="3"/>
        <v>1</v>
      </c>
      <c r="AJ59" s="2"/>
      <c r="AK59" s="2"/>
      <c r="AL59" s="2"/>
      <c r="AM59" s="2"/>
    </row>
    <row r="60" spans="1:39" ht="16" x14ac:dyDescent="0.2">
      <c r="A60" s="4">
        <v>45794.790775462963</v>
      </c>
      <c r="B60" s="2" t="s">
        <v>197</v>
      </c>
      <c r="C60" s="2"/>
      <c r="D60" s="2" t="s">
        <v>54</v>
      </c>
      <c r="E60" s="2">
        <v>20</v>
      </c>
      <c r="F60" s="2" t="s">
        <v>70</v>
      </c>
      <c r="G60" s="2">
        <v>2</v>
      </c>
      <c r="H60" s="2" t="s">
        <v>56</v>
      </c>
      <c r="I60" s="2">
        <v>1</v>
      </c>
      <c r="J60" s="2">
        <v>81326</v>
      </c>
      <c r="K60" s="2" t="s">
        <v>89</v>
      </c>
      <c r="L60" s="2" t="s">
        <v>72</v>
      </c>
      <c r="M60" s="2">
        <v>1</v>
      </c>
      <c r="N60" s="2" t="s">
        <v>198</v>
      </c>
      <c r="O60" s="2"/>
      <c r="P60" s="2" t="str" cm="1">
        <f t="array" ref="P60">_xlfn.IFS(OR(N60="Accounting", N60="BIA", N60="Business Analytics", N60="Business Information &amp; Analytics", N60="Business undecided", N60="Finance", N60="Finance &amp; Accounting", N60="Hospitality Management", N60="Hospitality Mgmt", N60="Hospitality management", N60="Interational Business", N60="International Business", N60="Management", N60="Marketing", N60="Real Estate"), "Daniels College of Business", OR(N60="Biology", N60="Chemistry", N60="Integrated Sciences", N60="Molecular Biology", N60="Molecular biology", N60="Physiology", N60="Physiology in health and disease", N60="Math"), "Natural Sciences &amp; Mathematics", OR(N60="Computer Science", N60="Mechanical engineering"), "Engineering &amp; Computer Science", OR(N60="Anthropology", N60="Communication and Media", N60="Communciations", N60="Economics", N60="Economics and Sociology", N60="Emergent Digital Practices", N60="Environmental Science", N60="Environmental science", N60="Gender studies", N60="International Studies", N60="International studies", N60="Journalism and Finance", N60="Journalism and International Studies", N60="Political Science", N60="Psychology", N60="Psychology &amp; Economics", N60="Psychology, French", N60="Psych &amp; spanish", N60="Psych and Spanish", N60="Public policy"), "Arts, Humanities &amp; Social Sciences", OR(N60="Ecology and Biodiversity", N60="Ecology and biodiversity"), "Natural Resources &amp; Sustainability")</f>
        <v>Arts, Humanities &amp; Social Sciences</v>
      </c>
      <c r="Q60" s="2">
        <f t="shared" si="0"/>
        <v>2</v>
      </c>
      <c r="R60" s="2">
        <v>8</v>
      </c>
      <c r="S60" s="2">
        <v>4</v>
      </c>
      <c r="T60" s="2" t="s">
        <v>83</v>
      </c>
      <c r="U60" s="5">
        <v>45659</v>
      </c>
      <c r="V60" s="2" t="s">
        <v>67</v>
      </c>
      <c r="W60" s="13">
        <f t="shared" si="1"/>
        <v>3</v>
      </c>
      <c r="X60" s="2" t="s">
        <v>78</v>
      </c>
      <c r="Y60" s="2" t="s">
        <v>62</v>
      </c>
      <c r="Z60" s="2">
        <f t="shared" si="2"/>
        <v>3</v>
      </c>
      <c r="AA60" s="2" t="s">
        <v>68</v>
      </c>
      <c r="AB60">
        <v>2</v>
      </c>
      <c r="AC60" s="2">
        <v>3</v>
      </c>
      <c r="AD60" s="2">
        <v>2</v>
      </c>
      <c r="AE60" s="2">
        <v>1</v>
      </c>
      <c r="AF60" s="2">
        <v>4</v>
      </c>
      <c r="AG60" s="2">
        <v>2</v>
      </c>
      <c r="AH60" s="2" t="s">
        <v>63</v>
      </c>
      <c r="AI60" s="2">
        <f t="shared" si="3"/>
        <v>1</v>
      </c>
      <c r="AJ60" s="2"/>
      <c r="AK60" s="2"/>
      <c r="AL60" s="2"/>
      <c r="AM60" s="2"/>
    </row>
    <row r="61" spans="1:39" ht="16" x14ac:dyDescent="0.2">
      <c r="A61" s="4">
        <v>45794.94939814815</v>
      </c>
      <c r="B61" s="2" t="s">
        <v>199</v>
      </c>
      <c r="C61" s="2"/>
      <c r="D61" s="2" t="s">
        <v>54</v>
      </c>
      <c r="E61" s="2">
        <v>20</v>
      </c>
      <c r="F61" s="2" t="s">
        <v>70</v>
      </c>
      <c r="G61" s="2">
        <v>2</v>
      </c>
      <c r="H61" s="2" t="s">
        <v>56</v>
      </c>
      <c r="I61" s="2">
        <v>1</v>
      </c>
      <c r="J61" s="2">
        <v>89511</v>
      </c>
      <c r="K61" s="2" t="s">
        <v>93</v>
      </c>
      <c r="L61" s="2" t="s">
        <v>81</v>
      </c>
      <c r="M61" s="2">
        <v>3</v>
      </c>
      <c r="N61" s="2" t="s">
        <v>200</v>
      </c>
      <c r="O61" s="2"/>
      <c r="P61" s="2" t="str" cm="1">
        <f t="array" ref="P61">_xlfn.IFS(OR(N61="Accounting", N61="BIA", N61="Business Analytics", N61="Business Information &amp; Analytics", N61="Business undecided", N61="Finance", N61="Finance &amp; Accounting", N61="Hospitality Management", N61="Hospitality Mgmt", N61="Hospitality management", N61="Interational Business", N61="International Business", N61="Management", N61="Marketing", N61="Real Estate"), "Daniels College of Business", OR(N61="Biology", N61="Chemistry", N61="Integrated Sciences", N61="Molecular Biology", N61="Molecular biology", N61="Physiology", N61="Physiology in health and disease", N61="Math"), "Natural Sciences &amp; Mathematics", OR(N61="Computer Science", N61="Mechanical engineering"), "Engineering &amp; Computer Science", OR(N61="Anthropology", N61="Communication and Media", N61="Communciations", N61="Economics", N61="Economics and Sociology", N61="Emergent Digital Practices", N61="Environmental Science", N61="Environmental science", N61="Gender studies", N61="International Studies", N61="International studies", N61="Journalism and Finance", N61="Journalism and International Studies", N61="Political Science", N61="Psychology", N61="Psychology &amp; Economics", N61="Psychology, French", N61="Psych &amp; spanish", N61="Psych and Spanish", N61="Public policy"), "Arts, Humanities &amp; Social Sciences", OR(N61="Ecology and Biodiversity", N61="Ecology and biodiversity"), "Natural Resources &amp; Sustainability")</f>
        <v>Daniels College of Business</v>
      </c>
      <c r="Q61" s="2">
        <f t="shared" si="0"/>
        <v>1</v>
      </c>
      <c r="R61" s="2">
        <v>7</v>
      </c>
      <c r="S61" s="2">
        <v>3</v>
      </c>
      <c r="T61" s="5">
        <v>45721</v>
      </c>
      <c r="U61" s="5">
        <v>45659</v>
      </c>
      <c r="V61" s="2" t="s">
        <v>77</v>
      </c>
      <c r="W61" s="13">
        <f t="shared" si="1"/>
        <v>2</v>
      </c>
      <c r="X61" s="2" t="s">
        <v>74</v>
      </c>
      <c r="Y61" s="2" t="s">
        <v>68</v>
      </c>
      <c r="Z61" s="2">
        <f t="shared" si="2"/>
        <v>2</v>
      </c>
      <c r="AA61" s="2" t="s">
        <v>68</v>
      </c>
      <c r="AB61">
        <v>2</v>
      </c>
      <c r="AC61" s="2">
        <v>1</v>
      </c>
      <c r="AD61" s="2">
        <v>3</v>
      </c>
      <c r="AE61" s="2">
        <v>2</v>
      </c>
      <c r="AF61" s="2">
        <v>4</v>
      </c>
      <c r="AG61" s="2">
        <v>2</v>
      </c>
      <c r="AH61" s="2" t="s">
        <v>63</v>
      </c>
      <c r="AI61" s="2">
        <f t="shared" si="3"/>
        <v>1</v>
      </c>
      <c r="AJ61" s="2"/>
      <c r="AK61" s="2"/>
      <c r="AL61" s="2"/>
      <c r="AM61" s="2"/>
    </row>
    <row r="62" spans="1:39" ht="16" x14ac:dyDescent="0.2">
      <c r="A62" s="4">
        <v>45795.389722222222</v>
      </c>
      <c r="B62" s="2" t="s">
        <v>201</v>
      </c>
      <c r="C62" s="2"/>
      <c r="D62" s="2" t="s">
        <v>54</v>
      </c>
      <c r="E62" s="2">
        <v>21</v>
      </c>
      <c r="F62" s="2" t="s">
        <v>70</v>
      </c>
      <c r="G62" s="2">
        <v>2</v>
      </c>
      <c r="H62" s="2" t="s">
        <v>56</v>
      </c>
      <c r="I62" s="2">
        <v>1</v>
      </c>
      <c r="J62" s="2">
        <v>80138</v>
      </c>
      <c r="K62" s="2" t="s">
        <v>89</v>
      </c>
      <c r="L62" s="2" t="s">
        <v>66</v>
      </c>
      <c r="M62" s="2">
        <v>2</v>
      </c>
      <c r="N62" s="2" t="s">
        <v>131</v>
      </c>
      <c r="O62" s="2"/>
      <c r="P62" s="2" t="str" cm="1">
        <f t="array" ref="P62">_xlfn.IFS(OR(N62="Accounting", N62="BIA", N62="Business Analytics", N62="Business Information &amp; Analytics", N62="Business undecided", N62="Finance", N62="Finance &amp; Accounting", N62="Hospitality Management", N62="Hospitality Mgmt", N62="Hospitality management", N62="Interational Business", N62="International Business", N62="Management", N62="Marketing", N62="Real Estate"), "Daniels College of Business", OR(N62="Biology", N62="Chemistry", N62="Integrated Sciences", N62="Molecular Biology", N62="Molecular biology", N62="Physiology", N62="Physiology in health and disease", N62="Math"), "Natural Sciences &amp; Mathematics", OR(N62="Computer Science", N62="Mechanical engineering"), "Engineering &amp; Computer Science", OR(N62="Anthropology", N62="Communication and Media", N62="Communciations", N62="Economics", N62="Economics and Sociology", N62="Emergent Digital Practices", N62="Environmental Science", N62="Environmental science", N62="Gender studies", N62="International Studies", N62="International studies", N62="Journalism and Finance", N62="Journalism and International Studies", N62="Political Science", N62="Psychology", N62="Psychology &amp; Economics", N62="Psychology, French", N62="Psych &amp; spanish", N62="Psych and Spanish", N62="Public policy"), "Arts, Humanities &amp; Social Sciences", OR(N62="Ecology and Biodiversity", N62="Ecology and biodiversity"), "Natural Resources &amp; Sustainability")</f>
        <v>Arts, Humanities &amp; Social Sciences</v>
      </c>
      <c r="Q62" s="2">
        <f t="shared" si="0"/>
        <v>2</v>
      </c>
      <c r="R62" s="2">
        <v>6</v>
      </c>
      <c r="S62" s="2">
        <v>3</v>
      </c>
      <c r="T62" s="5">
        <v>45721</v>
      </c>
      <c r="U62" s="2" t="s">
        <v>83</v>
      </c>
      <c r="V62" s="2" t="s">
        <v>77</v>
      </c>
      <c r="W62" s="13">
        <f t="shared" si="1"/>
        <v>2</v>
      </c>
      <c r="X62" s="2" t="s">
        <v>78</v>
      </c>
      <c r="Y62" s="2" t="s">
        <v>68</v>
      </c>
      <c r="Z62" s="2">
        <f t="shared" si="2"/>
        <v>2</v>
      </c>
      <c r="AA62" s="2" t="s">
        <v>63</v>
      </c>
      <c r="AB62">
        <v>1</v>
      </c>
      <c r="AC62" s="2">
        <v>2</v>
      </c>
      <c r="AD62" s="2">
        <v>3</v>
      </c>
      <c r="AE62" s="2">
        <v>1</v>
      </c>
      <c r="AF62" s="2">
        <v>4</v>
      </c>
      <c r="AG62" s="2">
        <v>2</v>
      </c>
      <c r="AH62" s="2" t="s">
        <v>63</v>
      </c>
      <c r="AI62" s="2">
        <f t="shared" si="3"/>
        <v>1</v>
      </c>
      <c r="AJ62" s="2"/>
      <c r="AK62" s="2"/>
      <c r="AL62" s="2"/>
      <c r="AM62" s="2"/>
    </row>
    <row r="63" spans="1:39" ht="16" x14ac:dyDescent="0.2">
      <c r="A63" s="4">
        <v>45795.53329861111</v>
      </c>
      <c r="B63" s="2" t="s">
        <v>202</v>
      </c>
      <c r="C63" s="2"/>
      <c r="D63" s="2" t="s">
        <v>54</v>
      </c>
      <c r="E63" s="2">
        <v>22</v>
      </c>
      <c r="F63" s="2" t="s">
        <v>55</v>
      </c>
      <c r="G63" s="2">
        <v>1</v>
      </c>
      <c r="H63" s="2" t="s">
        <v>56</v>
      </c>
      <c r="I63" s="2">
        <v>1</v>
      </c>
      <c r="J63" s="2">
        <v>80210</v>
      </c>
      <c r="K63" s="2" t="s">
        <v>93</v>
      </c>
      <c r="L63" s="2" t="s">
        <v>94</v>
      </c>
      <c r="M63" s="2">
        <v>4</v>
      </c>
      <c r="N63" s="2" t="s">
        <v>203</v>
      </c>
      <c r="O63" s="2"/>
      <c r="P63" s="2" t="str" cm="1">
        <f t="array" ref="P63">_xlfn.IFS(OR(N63="Accounting", N63="BIA", N63="Business Analytics", N63="Business Information &amp; Analytics", N63="Business undecided", N63="Finance", N63="Finance &amp; Accounting", N63="Hospitality Management", N63="Hospitality Mgmt", N63="Hospitality management", N63="Interational Business", N63="International Business", N63="Management", N63="Marketing", N63="Real Estate"), "Daniels College of Business", OR(N63="Biology", N63="Chemistry", N63="Integrated Sciences", N63="Molecular Biology", N63="Molecular biology", N63="Physiology", N63="Physiology in health and disease", N63="Math"), "Natural Sciences &amp; Mathematics", OR(N63="Computer Science", N63="Mechanical engineering"), "Engineering &amp; Computer Science", OR(N63="Anthropology", N63="Communication and Media", N63="Communciations", N63="Economics", N63="Economics and Sociology", N63="Emergent Digital Practices", N63="Environmental Science", N63="Environmental science", N63="Gender studies", N63="International Studies", N63="International studies", N63="Journalism and Finance", N63="Journalism and International Studies", N63="Political Science", N63="Psychology", N63="Psychology &amp; Economics", N63="Psychology, French", N63="Psych &amp; spanish", N63="Psych and Spanish", N63="Public policy"), "Arts, Humanities &amp; Social Sciences", OR(N63="Ecology and Biodiversity", N63="Ecology and biodiversity"), "Natural Resources &amp; Sustainability")</f>
        <v>Natural Sciences &amp; Mathematics</v>
      </c>
      <c r="Q63" s="2">
        <f t="shared" si="0"/>
        <v>4</v>
      </c>
      <c r="R63" s="2">
        <v>7</v>
      </c>
      <c r="S63" s="2">
        <v>2</v>
      </c>
      <c r="T63" s="5">
        <v>45659</v>
      </c>
      <c r="U63" s="5">
        <v>45659</v>
      </c>
      <c r="V63" s="2" t="s">
        <v>67</v>
      </c>
      <c r="W63" s="13">
        <f t="shared" si="1"/>
        <v>3</v>
      </c>
      <c r="X63" s="2" t="s">
        <v>204</v>
      </c>
      <c r="Y63" s="2" t="s">
        <v>62</v>
      </c>
      <c r="Z63" s="2">
        <f t="shared" si="2"/>
        <v>3</v>
      </c>
      <c r="AA63" s="2" t="s">
        <v>68</v>
      </c>
      <c r="AB63">
        <v>2</v>
      </c>
      <c r="AC63" s="2">
        <v>1</v>
      </c>
      <c r="AD63" s="2">
        <v>3</v>
      </c>
      <c r="AE63" s="2">
        <v>2</v>
      </c>
      <c r="AF63" s="2">
        <v>4</v>
      </c>
      <c r="AG63" s="2">
        <v>3</v>
      </c>
      <c r="AH63" s="2" t="s">
        <v>68</v>
      </c>
      <c r="AI63" s="2">
        <f t="shared" si="3"/>
        <v>2</v>
      </c>
      <c r="AJ63" s="2"/>
      <c r="AK63" s="2"/>
      <c r="AL63" s="2"/>
      <c r="AM63" s="2"/>
    </row>
    <row r="64" spans="1:39" ht="16" x14ac:dyDescent="0.2">
      <c r="A64" s="4">
        <v>45795.578935185185</v>
      </c>
      <c r="B64" s="2" t="s">
        <v>205</v>
      </c>
      <c r="C64" s="2"/>
      <c r="D64" s="2" t="s">
        <v>54</v>
      </c>
      <c r="E64" s="2">
        <v>22</v>
      </c>
      <c r="F64" s="2" t="s">
        <v>55</v>
      </c>
      <c r="G64" s="2">
        <v>1</v>
      </c>
      <c r="H64" s="2" t="s">
        <v>56</v>
      </c>
      <c r="I64" s="2">
        <v>1</v>
      </c>
      <c r="J64" s="2">
        <v>94611</v>
      </c>
      <c r="K64" s="2" t="s">
        <v>163</v>
      </c>
      <c r="L64" s="2" t="s">
        <v>94</v>
      </c>
      <c r="M64" s="2">
        <v>4</v>
      </c>
      <c r="N64" s="2" t="s">
        <v>133</v>
      </c>
      <c r="O64" s="2"/>
      <c r="P64" s="2" t="str" cm="1">
        <f t="array" ref="P64">_xlfn.IFS(OR(N64="Accounting", N64="BIA", N64="Business Analytics", N64="Business Information &amp; Analytics", N64="Business undecided", N64="Finance", N64="Finance &amp; Accounting", N64="Hospitality Management", N64="Hospitality Mgmt", N64="Hospitality management", N64="Interational Business", N64="International Business", N64="Management", N64="Marketing", N64="Real Estate"), "Daniels College of Business", OR(N64="Biology", N64="Chemistry", N64="Integrated Sciences", N64="Molecular Biology", N64="Molecular biology", N64="Physiology", N64="Physiology in health and disease", N64="Math"), "Natural Sciences &amp; Mathematics", OR(N64="Computer Science", N64="Mechanical engineering"), "Engineering &amp; Computer Science", OR(N64="Anthropology", N64="Communication and Media", N64="Communciations", N64="Economics", N64="Economics and Sociology", N64="Emergent Digital Practices", N64="Environmental Science", N64="Environmental science", N64="Gender studies", N64="International Studies", N64="International studies", N64="Journalism and Finance", N64="Journalism and International Studies", N64="Political Science", N64="Psychology", N64="Psychology &amp; Economics", N64="Psychology, French", N64="Psych &amp; spanish", N64="Psych and Spanish", N64="Public policy"), "Arts, Humanities &amp; Social Sciences", OR(N64="Ecology and Biodiversity", N64="Ecology and biodiversity"), "Natural Resources &amp; Sustainability")</f>
        <v>Natural Sciences &amp; Mathematics</v>
      </c>
      <c r="Q64" s="2">
        <f t="shared" si="0"/>
        <v>4</v>
      </c>
      <c r="R64" s="2">
        <v>7</v>
      </c>
      <c r="S64" s="2">
        <v>2</v>
      </c>
      <c r="T64" s="5">
        <v>45910</v>
      </c>
      <c r="U64" s="5">
        <v>45721</v>
      </c>
      <c r="V64" s="2" t="s">
        <v>60</v>
      </c>
      <c r="W64" s="13">
        <f t="shared" si="1"/>
        <v>4</v>
      </c>
      <c r="X64" s="2" t="s">
        <v>61</v>
      </c>
      <c r="Y64" s="2" t="s">
        <v>68</v>
      </c>
      <c r="Z64" s="2">
        <f t="shared" si="2"/>
        <v>2</v>
      </c>
      <c r="AA64" s="2" t="s">
        <v>62</v>
      </c>
      <c r="AB64">
        <v>3</v>
      </c>
      <c r="AC64" s="2">
        <v>1</v>
      </c>
      <c r="AD64" s="2">
        <v>3</v>
      </c>
      <c r="AE64" s="2">
        <v>4</v>
      </c>
      <c r="AF64" s="2">
        <v>2</v>
      </c>
      <c r="AG64" s="2">
        <v>1</v>
      </c>
      <c r="AH64" s="2" t="s">
        <v>63</v>
      </c>
      <c r="AI64" s="2">
        <f t="shared" si="3"/>
        <v>1</v>
      </c>
      <c r="AJ64" s="2"/>
      <c r="AK64" s="2"/>
      <c r="AL64" s="2"/>
      <c r="AM64" s="2"/>
    </row>
    <row r="65" spans="1:39" ht="16" x14ac:dyDescent="0.2">
      <c r="A65" s="4">
        <v>45795.594108796293</v>
      </c>
      <c r="B65" s="2" t="s">
        <v>206</v>
      </c>
      <c r="C65" s="2"/>
      <c r="D65" s="2" t="s">
        <v>54</v>
      </c>
      <c r="E65" s="2">
        <v>21</v>
      </c>
      <c r="F65" s="2" t="s">
        <v>70</v>
      </c>
      <c r="G65" s="2">
        <v>2</v>
      </c>
      <c r="H65" s="2" t="s">
        <v>56</v>
      </c>
      <c r="I65" s="2">
        <v>1</v>
      </c>
      <c r="J65" s="2">
        <v>28173</v>
      </c>
      <c r="K65" s="2" t="s">
        <v>195</v>
      </c>
      <c r="L65" s="2" t="s">
        <v>94</v>
      </c>
      <c r="M65" s="2">
        <v>4</v>
      </c>
      <c r="N65" s="2" t="s">
        <v>133</v>
      </c>
      <c r="O65" s="2"/>
      <c r="P65" s="2" t="str" cm="1">
        <f t="array" ref="P65">_xlfn.IFS(OR(N65="Accounting", N65="BIA", N65="Business Analytics", N65="Business Information &amp; Analytics", N65="Business undecided", N65="Finance", N65="Finance &amp; Accounting", N65="Hospitality Management", N65="Hospitality Mgmt", N65="Hospitality management", N65="Interational Business", N65="International Business", N65="Management", N65="Marketing", N65="Real Estate"), "Daniels College of Business", OR(N65="Biology", N65="Chemistry", N65="Integrated Sciences", N65="Molecular Biology", N65="Molecular biology", N65="Physiology", N65="Physiology in health and disease", N65="Math"), "Natural Sciences &amp; Mathematics", OR(N65="Computer Science", N65="Mechanical engineering"), "Engineering &amp; Computer Science", OR(N65="Anthropology", N65="Communication and Media", N65="Communciations", N65="Economics", N65="Economics and Sociology", N65="Emergent Digital Practices", N65="Environmental Science", N65="Environmental science", N65="Gender studies", N65="International Studies", N65="International studies", N65="Journalism and Finance", N65="Journalism and International Studies", N65="Political Science", N65="Psychology", N65="Psychology &amp; Economics", N65="Psychology, French", N65="Psych &amp; spanish", N65="Psych and Spanish", N65="Public policy"), "Arts, Humanities &amp; Social Sciences", OR(N65="Ecology and Biodiversity", N65="Ecology and biodiversity"), "Natural Resources &amp; Sustainability")</f>
        <v>Natural Sciences &amp; Mathematics</v>
      </c>
      <c r="Q65" s="2">
        <f t="shared" si="0"/>
        <v>4</v>
      </c>
      <c r="R65" s="2">
        <v>7</v>
      </c>
      <c r="S65" s="2">
        <v>4</v>
      </c>
      <c r="T65" s="5">
        <v>45910</v>
      </c>
      <c r="U65" s="2">
        <v>0</v>
      </c>
      <c r="V65" s="2" t="s">
        <v>67</v>
      </c>
      <c r="W65" s="13">
        <f t="shared" si="1"/>
        <v>3</v>
      </c>
      <c r="X65" s="2" t="s">
        <v>74</v>
      </c>
      <c r="Y65" s="2" t="s">
        <v>62</v>
      </c>
      <c r="Z65" s="2">
        <f t="shared" si="2"/>
        <v>3</v>
      </c>
      <c r="AA65" s="2" t="s">
        <v>68</v>
      </c>
      <c r="AB65">
        <v>2</v>
      </c>
      <c r="AC65" s="2">
        <v>3</v>
      </c>
      <c r="AD65" s="2">
        <v>2</v>
      </c>
      <c r="AE65" s="2">
        <v>1</v>
      </c>
      <c r="AF65" s="2">
        <v>4</v>
      </c>
      <c r="AG65" s="2">
        <v>3</v>
      </c>
      <c r="AH65" s="2" t="s">
        <v>68</v>
      </c>
      <c r="AI65" s="2">
        <f t="shared" si="3"/>
        <v>2</v>
      </c>
      <c r="AJ65" s="2"/>
      <c r="AK65" s="2"/>
      <c r="AL65" s="2"/>
      <c r="AM65" s="2"/>
    </row>
    <row r="66" spans="1:39" ht="16" x14ac:dyDescent="0.2">
      <c r="A66" s="4">
        <v>45795.809317129628</v>
      </c>
      <c r="B66" s="2" t="s">
        <v>207</v>
      </c>
      <c r="C66" s="2"/>
      <c r="D66" s="2" t="s">
        <v>54</v>
      </c>
      <c r="E66" s="2">
        <v>18</v>
      </c>
      <c r="F66" s="2" t="s">
        <v>70</v>
      </c>
      <c r="G66" s="2">
        <v>2</v>
      </c>
      <c r="H66" s="2" t="s">
        <v>56</v>
      </c>
      <c r="I66" s="2">
        <v>1</v>
      </c>
      <c r="J66" s="2">
        <v>92630</v>
      </c>
      <c r="K66" s="2" t="s">
        <v>57</v>
      </c>
      <c r="L66" s="2" t="s">
        <v>94</v>
      </c>
      <c r="M66" s="2">
        <v>4</v>
      </c>
      <c r="N66" s="2" t="s">
        <v>208</v>
      </c>
      <c r="O66" s="2"/>
      <c r="P66" s="2" t="s">
        <v>91</v>
      </c>
      <c r="Q66" s="2">
        <f t="shared" si="0"/>
        <v>1</v>
      </c>
      <c r="R66" s="2">
        <v>7</v>
      </c>
      <c r="S66" s="2">
        <v>3</v>
      </c>
      <c r="T66" s="5">
        <v>45816</v>
      </c>
      <c r="U66" s="5">
        <v>45659</v>
      </c>
      <c r="V66" s="2" t="s">
        <v>60</v>
      </c>
      <c r="W66" s="13">
        <f t="shared" si="1"/>
        <v>4</v>
      </c>
      <c r="X66" s="2" t="s">
        <v>61</v>
      </c>
      <c r="Y66" s="2" t="s">
        <v>62</v>
      </c>
      <c r="Z66" s="2">
        <f t="shared" si="2"/>
        <v>3</v>
      </c>
      <c r="AA66" s="2" t="s">
        <v>62</v>
      </c>
      <c r="AB66">
        <v>3</v>
      </c>
      <c r="AC66" s="2">
        <v>1</v>
      </c>
      <c r="AD66" s="2">
        <v>2</v>
      </c>
      <c r="AE66" s="2">
        <v>3</v>
      </c>
      <c r="AF66" s="2">
        <v>4</v>
      </c>
      <c r="AG66" s="2">
        <v>2</v>
      </c>
      <c r="AH66" s="2" t="s">
        <v>68</v>
      </c>
      <c r="AI66" s="2">
        <f t="shared" si="3"/>
        <v>2</v>
      </c>
      <c r="AJ66" s="2"/>
      <c r="AK66" s="2"/>
      <c r="AL66" s="2"/>
      <c r="AM66" s="2"/>
    </row>
    <row r="67" spans="1:39" ht="16" x14ac:dyDescent="0.2">
      <c r="A67" s="4">
        <v>45795.949513888889</v>
      </c>
      <c r="B67" s="2" t="s">
        <v>209</v>
      </c>
      <c r="C67" s="2"/>
      <c r="D67" s="2" t="s">
        <v>54</v>
      </c>
      <c r="E67" s="2">
        <v>21</v>
      </c>
      <c r="F67" s="2" t="s">
        <v>55</v>
      </c>
      <c r="G67" s="2">
        <v>1</v>
      </c>
      <c r="H67" s="2" t="s">
        <v>56</v>
      </c>
      <c r="I67" s="2">
        <v>1</v>
      </c>
      <c r="J67" s="2">
        <v>96734</v>
      </c>
      <c r="K67" s="2" t="s">
        <v>71</v>
      </c>
      <c r="L67" s="2" t="s">
        <v>72</v>
      </c>
      <c r="M67" s="2">
        <v>1</v>
      </c>
      <c r="N67" s="2" t="s">
        <v>210</v>
      </c>
      <c r="O67" s="2"/>
      <c r="P67" s="2" t="str" cm="1">
        <f t="array" ref="P67">_xlfn.IFS(OR(N67="Accounting", N67="BIA", N67="Business Analytics", N67="Business Information &amp; Analytics", N67="Business undecided", N67="Finance", N67="Finance &amp; Accounting", N67="Hospitality Management", N67="Hospitality Mgmt", N67="Hospitality management", N67="Interational Business", N67="International Business", N67="Management", N67="Marketing", N67="Real Estate"), "Daniels College of Business", OR(N67="Biology", N67="Chemistry", N67="Integrated Sciences", N67="Molecular Biology", N67="Molecular biology", N67="Physiology", N67="Physiology in health and disease", N67="Math"), "Natural Sciences &amp; Mathematics", OR(N67="Computer Science", N67="Mechanical engineering"), "Engineering &amp; Computer Science", OR(N67="Anthropology", N67="Communication and Media", N67="Communciations", N67="Economics", N67="Economics and Sociology", N67="Emergent Digital Practices", N67="Environmental Science", N67="Environmental science", N67="Gender studies", N67="International Studies", N67="International studies", N67="Journalism and Finance", N67="Journalism and International Studies", N67="Political Science", N67="Psychology", N67="Psychology &amp; Economics", N67="Psychology, French", N67="Psych &amp; spanish", N67="Psych and Spanish", N67="Public policy"), "Arts, Humanities &amp; Social Sciences", OR(N67="Ecology and Biodiversity", N67="Ecology and biodiversity"), "Natural Resources &amp; Sustainability")</f>
        <v>Daniels College of Business</v>
      </c>
      <c r="Q67" s="2">
        <f t="shared" si="0"/>
        <v>1</v>
      </c>
      <c r="R67" s="2">
        <v>9</v>
      </c>
      <c r="S67" s="2">
        <v>4</v>
      </c>
      <c r="T67" s="2" t="s">
        <v>83</v>
      </c>
      <c r="U67" s="5">
        <v>45659</v>
      </c>
      <c r="V67" s="2" t="s">
        <v>77</v>
      </c>
      <c r="W67" s="13">
        <f t="shared" si="1"/>
        <v>2</v>
      </c>
      <c r="X67" s="2" t="s">
        <v>204</v>
      </c>
      <c r="Y67" s="2" t="s">
        <v>68</v>
      </c>
      <c r="Z67" s="2">
        <f t="shared" si="2"/>
        <v>2</v>
      </c>
      <c r="AA67" s="2" t="s">
        <v>68</v>
      </c>
      <c r="AB67">
        <v>2</v>
      </c>
      <c r="AC67" s="2">
        <v>1</v>
      </c>
      <c r="AD67" s="2">
        <v>3</v>
      </c>
      <c r="AE67" s="2">
        <v>2</v>
      </c>
      <c r="AF67" s="2">
        <v>4</v>
      </c>
      <c r="AG67" s="2">
        <v>3</v>
      </c>
      <c r="AH67" s="2" t="s">
        <v>63</v>
      </c>
      <c r="AI67" s="2">
        <f t="shared" si="3"/>
        <v>1</v>
      </c>
      <c r="AJ67" s="2"/>
      <c r="AK67" s="2"/>
      <c r="AL67" s="2"/>
      <c r="AM67" s="2"/>
    </row>
    <row r="68" spans="1:39" ht="16" x14ac:dyDescent="0.2">
      <c r="A68" s="4">
        <v>45796.56554398148</v>
      </c>
      <c r="B68" s="2" t="s">
        <v>211</v>
      </c>
      <c r="C68" s="2"/>
      <c r="D68" s="2" t="s">
        <v>54</v>
      </c>
      <c r="E68" s="2">
        <v>21</v>
      </c>
      <c r="F68" s="2" t="s">
        <v>70</v>
      </c>
      <c r="G68" s="2">
        <v>2</v>
      </c>
      <c r="H68" s="2" t="s">
        <v>56</v>
      </c>
      <c r="I68" s="2">
        <v>1</v>
      </c>
      <c r="J68" s="2">
        <v>87571</v>
      </c>
      <c r="K68" s="2" t="s">
        <v>71</v>
      </c>
      <c r="L68" s="2" t="s">
        <v>81</v>
      </c>
      <c r="M68" s="2">
        <v>3</v>
      </c>
      <c r="N68" s="2" t="s">
        <v>212</v>
      </c>
      <c r="O68" s="2"/>
      <c r="P68" s="2" t="s">
        <v>114</v>
      </c>
      <c r="Q68" s="2">
        <f t="shared" ref="Q68:Q94" si="4">IF(P68="Daniels College of Business", 1,
 IF(P68="Arts, Humanities &amp; Social Sciences", 2,
 IF(P68="Engineering &amp; Computer Science", 3,
 IF(P68="Natural Sciences &amp; Mathematics", 4,
 IF(P68="Korbel's School of International Studies", 5, "")))))</f>
        <v>4</v>
      </c>
      <c r="R68" s="2">
        <v>9</v>
      </c>
      <c r="S68" s="2">
        <v>2</v>
      </c>
      <c r="T68" s="5">
        <v>45721</v>
      </c>
      <c r="U68" s="5">
        <v>45721</v>
      </c>
      <c r="V68" s="2" t="s">
        <v>77</v>
      </c>
      <c r="W68" s="13">
        <f t="shared" ref="W68:W94" si="5">IF(V68="Not at all confident", 1,
 IF(V68="Slightly confident", 2,
 IF(V68="Very confident", 3,
 IF(V68="Extremely Confident", 4, ""))))</f>
        <v>2</v>
      </c>
      <c r="X68" s="2" t="s">
        <v>61</v>
      </c>
      <c r="Y68" s="2" t="s">
        <v>62</v>
      </c>
      <c r="Z68" s="2">
        <f t="shared" ref="Z68:Z94" si="6">IF(Y68="Not at all", 1,
 IF(Y68="Slightly", 2,
 IF(Y68="Very much", 3,
 IF(Y68="Extremely", 4, ""))))</f>
        <v>3</v>
      </c>
      <c r="AA68" s="2" t="s">
        <v>107</v>
      </c>
      <c r="AB68">
        <v>4</v>
      </c>
      <c r="AC68" s="2">
        <v>1</v>
      </c>
      <c r="AD68" s="2">
        <v>2</v>
      </c>
      <c r="AE68" s="2">
        <v>4</v>
      </c>
      <c r="AF68" s="2">
        <v>3</v>
      </c>
      <c r="AG68" s="2">
        <v>2</v>
      </c>
      <c r="AH68" s="2" t="s">
        <v>101</v>
      </c>
      <c r="AI68" s="2">
        <f t="shared" ref="AI68:AI94" si="7">IF(AH68="Not at all", 1,
 IF(AH68="Slightly", 2,
 IF(AH68="Very much", 3,
 IF(AH68="Extremely", 4, ""))))</f>
        <v>3</v>
      </c>
      <c r="AJ68" s="2"/>
      <c r="AK68" s="2"/>
      <c r="AL68" s="2"/>
      <c r="AM68" s="2"/>
    </row>
    <row r="69" spans="1:39" ht="16" x14ac:dyDescent="0.2">
      <c r="A69" s="4">
        <v>45796.581261574072</v>
      </c>
      <c r="B69" s="2" t="s">
        <v>213</v>
      </c>
      <c r="C69" s="2"/>
      <c r="D69" s="2" t="s">
        <v>54</v>
      </c>
      <c r="E69" s="2">
        <v>21</v>
      </c>
      <c r="F69" s="2" t="s">
        <v>55</v>
      </c>
      <c r="G69" s="2">
        <v>1</v>
      </c>
      <c r="H69" s="2" t="s">
        <v>56</v>
      </c>
      <c r="I69" s="2">
        <v>1</v>
      </c>
      <c r="J69" s="2">
        <v>77346</v>
      </c>
      <c r="K69" s="2" t="s">
        <v>93</v>
      </c>
      <c r="L69" s="2" t="s">
        <v>81</v>
      </c>
      <c r="M69" s="2">
        <v>3</v>
      </c>
      <c r="N69" s="2" t="s">
        <v>214</v>
      </c>
      <c r="O69" s="2"/>
      <c r="P69" s="2" t="s">
        <v>114</v>
      </c>
      <c r="Q69" s="2">
        <f t="shared" si="4"/>
        <v>4</v>
      </c>
      <c r="R69" s="2">
        <v>4</v>
      </c>
      <c r="S69" s="2">
        <v>3</v>
      </c>
      <c r="T69" s="5">
        <v>45659</v>
      </c>
      <c r="U69" s="5">
        <v>45721</v>
      </c>
      <c r="V69" s="2" t="s">
        <v>77</v>
      </c>
      <c r="W69" s="13">
        <f t="shared" si="5"/>
        <v>2</v>
      </c>
      <c r="X69" s="2" t="s">
        <v>78</v>
      </c>
      <c r="Y69" s="2" t="s">
        <v>68</v>
      </c>
      <c r="Z69" s="2">
        <f t="shared" si="6"/>
        <v>2</v>
      </c>
      <c r="AA69" s="2" t="s">
        <v>62</v>
      </c>
      <c r="AB69">
        <v>3</v>
      </c>
      <c r="AC69" s="2">
        <v>2</v>
      </c>
      <c r="AD69" s="2">
        <v>3</v>
      </c>
      <c r="AE69" s="2">
        <v>1</v>
      </c>
      <c r="AF69" s="2">
        <v>4</v>
      </c>
      <c r="AG69" s="2">
        <v>2</v>
      </c>
      <c r="AH69" s="2" t="s">
        <v>63</v>
      </c>
      <c r="AI69" s="2">
        <f t="shared" si="7"/>
        <v>1</v>
      </c>
      <c r="AJ69" s="2"/>
      <c r="AK69" s="2"/>
      <c r="AL69" s="2"/>
      <c r="AM69" s="2"/>
    </row>
    <row r="70" spans="1:39" ht="16" x14ac:dyDescent="0.2">
      <c r="A70" s="4">
        <v>45796.637187499997</v>
      </c>
      <c r="B70" s="2" t="s">
        <v>215</v>
      </c>
      <c r="C70" s="2"/>
      <c r="D70" s="2" t="s">
        <v>54</v>
      </c>
      <c r="E70" s="2">
        <v>20</v>
      </c>
      <c r="F70" s="2" t="s">
        <v>55</v>
      </c>
      <c r="G70" s="2">
        <v>1</v>
      </c>
      <c r="H70" s="2" t="s">
        <v>56</v>
      </c>
      <c r="I70" s="2">
        <v>1</v>
      </c>
      <c r="J70" s="2">
        <v>83401</v>
      </c>
      <c r="K70" s="2" t="s">
        <v>93</v>
      </c>
      <c r="L70" s="2" t="s">
        <v>81</v>
      </c>
      <c r="M70" s="2">
        <v>3</v>
      </c>
      <c r="N70" s="2" t="s">
        <v>216</v>
      </c>
      <c r="O70" s="2"/>
      <c r="P70" s="2" t="str" cm="1">
        <f t="array" ref="P70">_xlfn.IFS(OR(N70="Accounting", N70="BIA", N70="Business Analytics", N70="Business Information &amp; Analytics", N70="Business undecided", N70="Finance", N70="Finance &amp; Accounting", N70="Hospitality Management", N70="Hospitality Mgmt", N70="Hospitality management", N70="Interational Business", N70="International Business", N70="Management", N70="Marketing", N70="Real Estate"), "Daniels College of Business", OR(N70="Biology", N70="Chemistry", N70="Integrated Sciences", N70="Molecular Biology", N70="Molecular biology", N70="Physiology", N70="Physiology in health and disease", N70="Math"), "Natural Sciences &amp; Mathematics", OR(N70="Computer Science", N70="Mechanical engineering"), "Engineering &amp; Computer Science", OR(N70="Anthropology", N70="Communication and Media", N70="Communciations", N70="Economics", N70="Economics and Sociology", N70="Emergent Digital Practices", N70="Environmental Science", N70="Environmental science", N70="Gender studies", N70="International Studies", N70="International studies", N70="Journalism and Finance", N70="Journalism and International Studies", N70="Political Science", N70="Psychology", N70="Psychology &amp; Economics", N70="Psychology, French", N70="Psych &amp; spanish", N70="Psych and Spanish", N70="Public policy"), "Arts, Humanities &amp; Social Sciences", OR(N70="Ecology and Biodiversity", N70="Ecology and biodiversity"), "Natural Resources &amp; Sustainability")</f>
        <v>Daniels College of Business</v>
      </c>
      <c r="Q70" s="2">
        <f t="shared" si="4"/>
        <v>1</v>
      </c>
      <c r="R70" s="2">
        <v>6</v>
      </c>
      <c r="S70" s="2">
        <v>4</v>
      </c>
      <c r="T70" s="5">
        <v>45721</v>
      </c>
      <c r="U70" s="5">
        <v>45659</v>
      </c>
      <c r="V70" s="2" t="s">
        <v>77</v>
      </c>
      <c r="W70" s="13">
        <f t="shared" si="5"/>
        <v>2</v>
      </c>
      <c r="X70" s="2" t="s">
        <v>84</v>
      </c>
      <c r="Y70" s="2" t="s">
        <v>68</v>
      </c>
      <c r="Z70" s="2">
        <f t="shared" si="6"/>
        <v>2</v>
      </c>
      <c r="AA70" s="2" t="s">
        <v>62</v>
      </c>
      <c r="AB70">
        <v>3</v>
      </c>
      <c r="AC70" s="2">
        <v>4</v>
      </c>
      <c r="AD70" s="2">
        <v>1</v>
      </c>
      <c r="AE70" s="2">
        <v>2</v>
      </c>
      <c r="AF70" s="2">
        <v>3</v>
      </c>
      <c r="AG70" s="2">
        <v>3</v>
      </c>
      <c r="AH70" s="2" t="s">
        <v>68</v>
      </c>
      <c r="AI70" s="2">
        <f t="shared" si="7"/>
        <v>2</v>
      </c>
      <c r="AJ70" s="2"/>
      <c r="AK70" s="2"/>
      <c r="AL70" s="2"/>
      <c r="AM70" s="2"/>
    </row>
    <row r="71" spans="1:39" ht="16" x14ac:dyDescent="0.2">
      <c r="A71" s="4">
        <v>45797.590312499997</v>
      </c>
      <c r="B71" s="2" t="s">
        <v>217</v>
      </c>
      <c r="C71" s="2"/>
      <c r="D71" s="2" t="s">
        <v>54</v>
      </c>
      <c r="E71" s="2">
        <v>20</v>
      </c>
      <c r="F71" s="2" t="s">
        <v>55</v>
      </c>
      <c r="G71" s="2">
        <v>1</v>
      </c>
      <c r="H71" s="2" t="s">
        <v>56</v>
      </c>
      <c r="I71" s="2">
        <v>1</v>
      </c>
      <c r="J71" s="2">
        <v>80210</v>
      </c>
      <c r="K71" s="2" t="s">
        <v>57</v>
      </c>
      <c r="L71" s="2" t="s">
        <v>72</v>
      </c>
      <c r="M71" s="2">
        <v>1</v>
      </c>
      <c r="N71" s="2" t="s">
        <v>218</v>
      </c>
      <c r="O71" s="2"/>
      <c r="P71" s="2" t="str" cm="1">
        <f t="array" ref="P71">_xlfn.IFS(OR(N71="Accounting", N71="BIA", N71="Business Analytics", N71="Business Information &amp; Analytics", N71="Business undecided", N71="Finance", N71="Finance &amp; Accounting", N71="Hospitality Management", N71="Hospitality Mgmt", N71="Hospitality management", N71="Interational Business", N71="International Business", N71="Management", N71="Marketing", N71="Real Estate"), "Daniels College of Business", OR(N71="Biology", N71="Chemistry", N71="Integrated Sciences", N71="Molecular Biology", N71="Molecular biology", N71="Physiology", N71="Physiology in health and disease", N71="Math"), "Natural Sciences &amp; Mathematics", OR(N71="Computer Science", N71="Mechanical engineering"), "Engineering &amp; Computer Science", OR(N71="Anthropology", N71="Communication and Media", N71="Communciations", N71="Economics", N71="Economics and Sociology", N71="Emergent Digital Practices", N71="Environmental Science", N71="Environmental science", N71="Gender studies", N71="International Studies", N71="International studies", N71="Journalism and Finance", N71="Journalism and International Studies", N71="Political Science", N71="Psychology", N71="Psychology &amp; Economics", N71="Psychology, French", N71="Psych &amp; spanish", N71="Psych and Spanish", N71="Public policy"), "Arts, Humanities &amp; Social Sciences", OR(N71="Ecology and Biodiversity", N71="Ecology and biodiversity"), "Natural Resources &amp; Sustainability")</f>
        <v>Natural Sciences &amp; Mathematics</v>
      </c>
      <c r="Q71" s="2">
        <f t="shared" si="4"/>
        <v>4</v>
      </c>
      <c r="R71" s="2">
        <v>2</v>
      </c>
      <c r="S71" s="2">
        <v>2</v>
      </c>
      <c r="T71" s="5">
        <v>45659</v>
      </c>
      <c r="U71" s="2">
        <v>0</v>
      </c>
      <c r="V71" s="2" t="s">
        <v>77</v>
      </c>
      <c r="W71" s="13">
        <f t="shared" si="5"/>
        <v>2</v>
      </c>
      <c r="X71" s="2" t="s">
        <v>110</v>
      </c>
      <c r="Y71" s="2" t="s">
        <v>63</v>
      </c>
      <c r="Z71" s="2">
        <f t="shared" si="6"/>
        <v>1</v>
      </c>
      <c r="AA71" s="2" t="s">
        <v>63</v>
      </c>
      <c r="AB71">
        <v>1</v>
      </c>
      <c r="AC71" s="2">
        <v>3</v>
      </c>
      <c r="AD71" s="2">
        <v>2</v>
      </c>
      <c r="AE71" s="2">
        <v>1</v>
      </c>
      <c r="AF71" s="2">
        <v>4</v>
      </c>
      <c r="AG71" s="2">
        <v>1</v>
      </c>
      <c r="AH71" s="2" t="s">
        <v>63</v>
      </c>
      <c r="AI71" s="2">
        <f t="shared" si="7"/>
        <v>1</v>
      </c>
      <c r="AJ71" s="2"/>
      <c r="AK71" s="2"/>
      <c r="AL71" s="2"/>
      <c r="AM71" s="2"/>
    </row>
    <row r="72" spans="1:39" ht="16" x14ac:dyDescent="0.2">
      <c r="A72" s="4">
        <v>45797.717939814815</v>
      </c>
      <c r="B72" s="2" t="s">
        <v>219</v>
      </c>
      <c r="C72" s="2"/>
      <c r="D72" s="2" t="s">
        <v>54</v>
      </c>
      <c r="E72" s="2">
        <v>21</v>
      </c>
      <c r="F72" s="2" t="s">
        <v>55</v>
      </c>
      <c r="G72" s="2">
        <v>1</v>
      </c>
      <c r="H72" s="2" t="s">
        <v>56</v>
      </c>
      <c r="I72" s="2">
        <v>1</v>
      </c>
      <c r="J72" s="2">
        <v>60062</v>
      </c>
      <c r="K72" s="2" t="s">
        <v>57</v>
      </c>
      <c r="L72" s="2" t="s">
        <v>66</v>
      </c>
      <c r="M72" s="2">
        <v>2</v>
      </c>
      <c r="N72" s="2" t="s">
        <v>86</v>
      </c>
      <c r="O72" s="2"/>
      <c r="P72" s="2" t="str" cm="1">
        <f t="array" ref="P72">_xlfn.IFS(OR(N72="Accounting", N72="BIA", N72="Business Analytics", N72="Business Information &amp; Analytics", N72="Business undecided", N72="Finance", N72="Finance &amp; Accounting", N72="Hospitality Management", N72="Hospitality Mgmt", N72="Hospitality management", N72="Interational Business", N72="International Business", N72="Management", N72="Marketing", N72="Real Estate"), "Daniels College of Business", OR(N72="Biology", N72="Chemistry", N72="Integrated Sciences", N72="Molecular Biology", N72="Molecular biology", N72="Physiology", N72="Physiology in health and disease", N72="Math"), "Natural Sciences &amp; Mathematics", OR(N72="Computer Science", N72="Mechanical engineering"), "Engineering &amp; Computer Science", OR(N72="Anthropology", N72="Communication and Media", N72="Communciations", N72="Economics", N72="Economics and Sociology", N72="Emergent Digital Practices", N72="Environmental Science", N72="Environmental science", N72="Gender studies", N72="International Studies", N72="International studies", N72="Journalism and Finance", N72="Journalism and International Studies", N72="Political Science", N72="Psychology", N72="Psychology &amp; Economics", N72="Psychology, French", N72="Psych &amp; spanish", N72="Psych and Spanish", N72="Public policy"), "Arts, Humanities &amp; Social Sciences", OR(N72="Ecology and Biodiversity", N72="Ecology and biodiversity"), "Natural Resources &amp; Sustainability")</f>
        <v>Engineering &amp; Computer Science</v>
      </c>
      <c r="Q72" s="2">
        <f t="shared" si="4"/>
        <v>3</v>
      </c>
      <c r="R72" s="2">
        <v>9</v>
      </c>
      <c r="S72" s="2">
        <v>3</v>
      </c>
      <c r="T72" s="5">
        <v>45816</v>
      </c>
      <c r="U72" s="2">
        <v>0</v>
      </c>
      <c r="V72" s="2" t="s">
        <v>77</v>
      </c>
      <c r="W72" s="13">
        <f t="shared" si="5"/>
        <v>2</v>
      </c>
      <c r="X72" s="2" t="s">
        <v>204</v>
      </c>
      <c r="Y72" s="2" t="s">
        <v>62</v>
      </c>
      <c r="Z72" s="2">
        <f t="shared" si="6"/>
        <v>3</v>
      </c>
      <c r="AA72" s="2" t="s">
        <v>68</v>
      </c>
      <c r="AB72">
        <v>2</v>
      </c>
      <c r="AC72" s="2">
        <v>1</v>
      </c>
      <c r="AD72" s="2">
        <v>3</v>
      </c>
      <c r="AE72" s="2">
        <v>2</v>
      </c>
      <c r="AF72" s="2">
        <v>4</v>
      </c>
      <c r="AG72" s="2">
        <v>2</v>
      </c>
      <c r="AH72" s="2" t="s">
        <v>63</v>
      </c>
      <c r="AI72" s="2">
        <f t="shared" si="7"/>
        <v>1</v>
      </c>
      <c r="AJ72" s="2"/>
      <c r="AK72" s="2"/>
      <c r="AL72" s="2"/>
      <c r="AM72" s="2"/>
    </row>
    <row r="73" spans="1:39" ht="16" x14ac:dyDescent="0.2">
      <c r="A73" s="4">
        <v>45799.615555555552</v>
      </c>
      <c r="B73" s="2" t="s">
        <v>220</v>
      </c>
      <c r="C73" s="2"/>
      <c r="D73" s="2" t="s">
        <v>54</v>
      </c>
      <c r="E73" s="2">
        <v>21</v>
      </c>
      <c r="F73" s="2" t="s">
        <v>70</v>
      </c>
      <c r="G73" s="2">
        <v>2</v>
      </c>
      <c r="H73" s="2" t="s">
        <v>56</v>
      </c>
      <c r="I73" s="2">
        <v>1</v>
      </c>
      <c r="J73" s="2">
        <v>60062</v>
      </c>
      <c r="K73" s="2" t="s">
        <v>80</v>
      </c>
      <c r="L73" s="2" t="s">
        <v>66</v>
      </c>
      <c r="M73" s="2">
        <v>2</v>
      </c>
      <c r="N73" s="2" t="s">
        <v>221</v>
      </c>
      <c r="O73" s="2"/>
      <c r="P73" s="2" t="str" cm="1">
        <f t="array" ref="P73">_xlfn.IFS(OR(N73="Accounting", N73="BIA", N73="Business Analytics", N73="Business Information &amp; Analytics", N73="Business undecided", N73="Finance", N73="Finance &amp; Accounting", N73="Hospitality Management", N73="Hospitality Mgmt", N73="Hospitality management", N73="Interational Business", N73="International Business", N73="Management", N73="Marketing", N73="Real Estate"), "Daniels College of Business", OR(N73="Biology", N73="Chemistry", N73="Integrated Sciences", N73="Molecular Biology", N73="Molecular biology", N73="Physiology", N73="Physiology in health and disease", N73="Math"), "Natural Sciences &amp; Mathematics", OR(N73="Computer Science", N73="Mechanical engineering"), "Engineering &amp; Computer Science", OR(N73="Anthropology", N73="Communication and Media", N73="Communciations", N73="Economics", N73="Economics and Sociology", N73="Emergent Digital Practices", N73="Environmental Science", N73="Environmental science", N73="Gender studies", N73="International Studies", N73="International studies", N73="Journalism and Finance", N73="Journalism and International Studies", N73="Political Science", N73="Psychology", N73="Psychology &amp; Economics", N73="Psychology, French", N73="Psych &amp; spanish", N73="Psych and Spanish", N73="Public policy"), "Arts, Humanities &amp; Social Sciences", OR(N73="Ecology and Biodiversity", N73="Ecology and biodiversity"), "Natural Resources &amp; Sustainability")</f>
        <v>Daniels College of Business</v>
      </c>
      <c r="Q73" s="2">
        <f t="shared" si="4"/>
        <v>1</v>
      </c>
      <c r="R73" s="2">
        <v>8</v>
      </c>
      <c r="S73" s="2">
        <v>3</v>
      </c>
      <c r="T73" s="5">
        <v>45659</v>
      </c>
      <c r="U73" s="5">
        <v>45659</v>
      </c>
      <c r="V73" s="2" t="s">
        <v>67</v>
      </c>
      <c r="W73" s="13">
        <f t="shared" si="5"/>
        <v>3</v>
      </c>
      <c r="X73" s="2" t="s">
        <v>134</v>
      </c>
      <c r="Y73" s="2" t="s">
        <v>62</v>
      </c>
      <c r="Z73" s="2">
        <f t="shared" si="6"/>
        <v>3</v>
      </c>
      <c r="AA73" s="2" t="s">
        <v>68</v>
      </c>
      <c r="AB73">
        <v>2</v>
      </c>
      <c r="AC73" s="2">
        <v>1</v>
      </c>
      <c r="AD73" s="2">
        <v>3</v>
      </c>
      <c r="AE73" s="2">
        <v>2</v>
      </c>
      <c r="AF73" s="2">
        <v>4</v>
      </c>
      <c r="AG73" s="2">
        <v>2</v>
      </c>
      <c r="AH73" s="2" t="s">
        <v>68</v>
      </c>
      <c r="AI73" s="2">
        <f t="shared" si="7"/>
        <v>2</v>
      </c>
      <c r="AJ73" s="2"/>
      <c r="AK73" s="2"/>
      <c r="AL73" s="2"/>
      <c r="AM73" s="2"/>
    </row>
    <row r="74" spans="1:39" ht="16" x14ac:dyDescent="0.2">
      <c r="A74" s="4">
        <v>45799.715868055559</v>
      </c>
      <c r="B74" s="2" t="s">
        <v>222</v>
      </c>
      <c r="C74" s="2"/>
      <c r="D74" s="2" t="s">
        <v>54</v>
      </c>
      <c r="E74" s="2">
        <v>20</v>
      </c>
      <c r="F74" s="2" t="s">
        <v>55</v>
      </c>
      <c r="G74" s="2">
        <v>1</v>
      </c>
      <c r="H74" s="2" t="s">
        <v>56</v>
      </c>
      <c r="I74" s="2">
        <v>1</v>
      </c>
      <c r="J74" s="2">
        <v>95814</v>
      </c>
      <c r="K74" s="2" t="s">
        <v>186</v>
      </c>
      <c r="L74" s="2" t="s">
        <v>66</v>
      </c>
      <c r="M74" s="6">
        <v>2</v>
      </c>
      <c r="N74" s="2" t="s">
        <v>223</v>
      </c>
      <c r="O74" s="2"/>
      <c r="P74" s="2" t="str" cm="1">
        <f t="array" ref="P74">_xlfn.IFS(OR(N74="Accounting", N74="BIA", N74="Business Analytics", N74="Business Information &amp; Analytics", N74="Business undecided", N74="Finance", N74="Finance &amp; Accounting", N74="Hospitality Management", N74="Hospitality Mgmt", N74="Hospitality management", N74="Interational Business", N74="International Business", N74="Management", N74="Marketing", N74="Real Estate"), "Daniels College of Business", OR(N74="Biology", N74="Chemistry", N74="Integrated Sciences", N74="Molecular Biology", N74="Molecular biology", N74="Physiology", N74="Physiology in health and disease", N74="Math"), "Natural Sciences &amp; Mathematics", OR(N74="Computer Science", N74="Mechanical engineering"), "Engineering &amp; Computer Science", OR(N74="Anthropology", N74="Communication and Media", N74="Communciations", N74="Economics", N74="Economics and Sociology", N74="Emergent Digital Practices", N74="Environmental Science", N74="Environmental science", N74="Gender studies", N74="International Studies", N74="International studies", N74="Journalism and Finance", N74="Journalism and International Studies", N74="Political Science", N74="Psychology", N74="Psychology &amp; Economics", N74="Psychology, French", N74="Psych &amp; spanish", N74="Psych and Spanish", N74="Public policy"), "Arts, Humanities &amp; Social Sciences", OR(N74="Ecology and Biodiversity", N74="Ecology and biodiversity"), "Natural Resources &amp; Sustainability")</f>
        <v>Arts, Humanities &amp; Social Sciences</v>
      </c>
      <c r="Q74" s="2">
        <f t="shared" si="4"/>
        <v>2</v>
      </c>
      <c r="R74" s="2">
        <v>2</v>
      </c>
      <c r="S74" s="2">
        <v>3</v>
      </c>
      <c r="T74" s="2"/>
      <c r="U74" s="2"/>
      <c r="V74" s="2" t="s">
        <v>224</v>
      </c>
      <c r="W74" s="13">
        <v>3</v>
      </c>
      <c r="X74" s="2"/>
      <c r="Y74" s="2" t="s">
        <v>68</v>
      </c>
      <c r="Z74" s="2">
        <f t="shared" si="6"/>
        <v>2</v>
      </c>
      <c r="AA74" s="6" t="s">
        <v>63</v>
      </c>
      <c r="AB74">
        <v>1</v>
      </c>
      <c r="AC74" s="2">
        <v>3</v>
      </c>
      <c r="AD74" s="2">
        <v>2</v>
      </c>
      <c r="AE74" s="2">
        <v>1</v>
      </c>
      <c r="AF74" s="2">
        <v>4</v>
      </c>
      <c r="AG74" s="2">
        <v>1</v>
      </c>
      <c r="AH74" s="2" t="s">
        <v>63</v>
      </c>
      <c r="AI74" s="2">
        <f t="shared" si="7"/>
        <v>1</v>
      </c>
      <c r="AJ74" s="2"/>
      <c r="AK74" s="2"/>
      <c r="AL74" s="2"/>
      <c r="AM74" s="2"/>
    </row>
    <row r="75" spans="1:39" ht="16" x14ac:dyDescent="0.2">
      <c r="A75" s="4">
        <v>45799.725543981483</v>
      </c>
      <c r="B75" s="2" t="s">
        <v>225</v>
      </c>
      <c r="C75" s="2"/>
      <c r="D75" s="2" t="s">
        <v>54</v>
      </c>
      <c r="E75" s="2">
        <v>20</v>
      </c>
      <c r="F75" s="2" t="s">
        <v>55</v>
      </c>
      <c r="G75" s="2">
        <v>1</v>
      </c>
      <c r="H75" s="2" t="s">
        <v>56</v>
      </c>
      <c r="I75" s="2">
        <v>1</v>
      </c>
      <c r="J75" s="2">
        <v>95814</v>
      </c>
      <c r="K75" s="2" t="s">
        <v>71</v>
      </c>
      <c r="L75" s="6" t="s">
        <v>66</v>
      </c>
      <c r="M75" s="6">
        <v>2</v>
      </c>
      <c r="N75" s="2" t="s">
        <v>133</v>
      </c>
      <c r="O75" s="2"/>
      <c r="P75" s="2" t="str" cm="1">
        <f t="array" ref="P75">_xlfn.IFS(OR(N75="Accounting", N75="BIA", N75="Business Analytics", N75="Business Information &amp; Analytics", N75="Business undecided", N75="Finance", N75="Finance &amp; Accounting", N75="Hospitality Management", N75="Hospitality Mgmt", N75="Hospitality management", N75="Interational Business", N75="International Business", N75="Management", N75="Marketing", N75="Real Estate"), "Daniels College of Business", OR(N75="Biology", N75="Chemistry", N75="Integrated Sciences", N75="Molecular Biology", N75="Molecular biology", N75="Physiology", N75="Physiology in health and disease", N75="Math"), "Natural Sciences &amp; Mathematics", OR(N75="Computer Science", N75="Mechanical engineering"), "Engineering &amp; Computer Science", OR(N75="Anthropology", N75="Communication and Media", N75="Communciations", N75="Economics", N75="Economics and Sociology", N75="Emergent Digital Practices", N75="Environmental Science", N75="Environmental science", N75="Gender studies", N75="International Studies", N75="International studies", N75="Journalism and Finance", N75="Journalism and International Studies", N75="Political Science", N75="Psychology", N75="Psychology &amp; Economics", N75="Psychology, French", N75="Psych &amp; spanish", N75="Psych and Spanish", N75="Public policy"), "Arts, Humanities &amp; Social Sciences", OR(N75="Ecology and Biodiversity", N75="Ecology and biodiversity"), "Natural Resources &amp; Sustainability")</f>
        <v>Natural Sciences &amp; Mathematics</v>
      </c>
      <c r="Q75" s="2">
        <f t="shared" si="4"/>
        <v>4</v>
      </c>
      <c r="R75" s="2">
        <v>8</v>
      </c>
      <c r="S75" s="2">
        <v>3</v>
      </c>
      <c r="T75" s="2"/>
      <c r="U75" s="2"/>
      <c r="V75" s="2" t="s">
        <v>77</v>
      </c>
      <c r="W75" s="13">
        <f t="shared" si="5"/>
        <v>2</v>
      </c>
      <c r="X75" s="2"/>
      <c r="Y75" s="2" t="s">
        <v>62</v>
      </c>
      <c r="Z75" s="2">
        <f t="shared" si="6"/>
        <v>3</v>
      </c>
      <c r="AA75" s="2" t="s">
        <v>63</v>
      </c>
      <c r="AB75">
        <v>1</v>
      </c>
      <c r="AC75" s="2">
        <v>4</v>
      </c>
      <c r="AD75" s="2">
        <v>1</v>
      </c>
      <c r="AE75" s="2">
        <v>2</v>
      </c>
      <c r="AF75" s="2">
        <v>3</v>
      </c>
      <c r="AG75" s="2">
        <v>1</v>
      </c>
      <c r="AH75" s="2" t="s">
        <v>63</v>
      </c>
      <c r="AI75" s="2">
        <f t="shared" si="7"/>
        <v>1</v>
      </c>
      <c r="AJ75" s="2"/>
      <c r="AK75" s="2"/>
      <c r="AL75" s="2"/>
      <c r="AM75" s="2"/>
    </row>
    <row r="76" spans="1:39" ht="16" x14ac:dyDescent="0.2">
      <c r="A76" s="4">
        <v>45799.725844907407</v>
      </c>
      <c r="B76" s="2" t="s">
        <v>226</v>
      </c>
      <c r="C76" s="2"/>
      <c r="D76" s="2" t="s">
        <v>54</v>
      </c>
      <c r="E76" s="2">
        <v>19</v>
      </c>
      <c r="F76" s="2" t="s">
        <v>55</v>
      </c>
      <c r="G76" s="2">
        <v>1</v>
      </c>
      <c r="H76" s="2" t="s">
        <v>56</v>
      </c>
      <c r="I76" s="2">
        <v>1</v>
      </c>
      <c r="J76" s="2">
        <v>2108</v>
      </c>
      <c r="K76" s="2" t="s">
        <v>71</v>
      </c>
      <c r="L76" s="6" t="s">
        <v>66</v>
      </c>
      <c r="M76" s="2">
        <v>2</v>
      </c>
      <c r="N76" s="2" t="s">
        <v>86</v>
      </c>
      <c r="O76" s="2"/>
      <c r="P76" s="2" t="str" cm="1">
        <f t="array" ref="P76">_xlfn.IFS(OR(N76="Accounting", N76="BIA", N76="Business Analytics", N76="Business Information &amp; Analytics", N76="Business undecided", N76="Finance", N76="Finance &amp; Accounting", N76="Hospitality Management", N76="Hospitality Mgmt", N76="Hospitality management", N76="Interational Business", N76="International Business", N76="Management", N76="Marketing", N76="Real Estate"), "Daniels College of Business", OR(N76="Biology", N76="Chemistry", N76="Integrated Sciences", N76="Molecular Biology", N76="Molecular biology", N76="Physiology", N76="Physiology in health and disease", N76="Math"), "Natural Sciences &amp; Mathematics", OR(N76="Computer Science", N76="Mechanical engineering"), "Engineering &amp; Computer Science", OR(N76="Anthropology", N76="Communication and Media", N76="Communciations", N76="Economics", N76="Economics and Sociology", N76="Emergent Digital Practices", N76="Environmental Science", N76="Environmental science", N76="Gender studies", N76="International Studies", N76="International studies", N76="Journalism and Finance", N76="Journalism and International Studies", N76="Political Science", N76="Psychology", N76="Psychology &amp; Economics", N76="Psychology, French", N76="Psych &amp; spanish", N76="Psych and Spanish", N76="Public policy"), "Arts, Humanities &amp; Social Sciences", OR(N76="Ecology and Biodiversity", N76="Ecology and biodiversity"), "Natural Resources &amp; Sustainability")</f>
        <v>Engineering &amp; Computer Science</v>
      </c>
      <c r="Q76" s="2">
        <f t="shared" si="4"/>
        <v>3</v>
      </c>
      <c r="R76" s="2">
        <v>9</v>
      </c>
      <c r="S76" s="2">
        <v>2</v>
      </c>
      <c r="T76" s="2"/>
      <c r="U76" s="2"/>
      <c r="V76" s="2" t="s">
        <v>119</v>
      </c>
      <c r="W76" s="13">
        <f t="shared" si="5"/>
        <v>1</v>
      </c>
      <c r="X76" s="2"/>
      <c r="Y76" s="2" t="s">
        <v>68</v>
      </c>
      <c r="Z76" s="2">
        <f t="shared" si="6"/>
        <v>2</v>
      </c>
      <c r="AA76" s="2" t="s">
        <v>68</v>
      </c>
      <c r="AB76">
        <v>2</v>
      </c>
      <c r="AC76" s="2">
        <v>2</v>
      </c>
      <c r="AD76" s="2">
        <v>1</v>
      </c>
      <c r="AE76" s="2">
        <v>3</v>
      </c>
      <c r="AF76" s="2">
        <v>4</v>
      </c>
      <c r="AG76" s="2">
        <v>3</v>
      </c>
      <c r="AH76" s="2" t="s">
        <v>63</v>
      </c>
      <c r="AI76" s="2">
        <f t="shared" si="7"/>
        <v>1</v>
      </c>
      <c r="AJ76" s="2"/>
      <c r="AK76" s="2"/>
      <c r="AL76" s="2"/>
      <c r="AM76" s="2"/>
    </row>
    <row r="77" spans="1:39" ht="16" x14ac:dyDescent="0.2">
      <c r="A77" s="4">
        <v>45799.732395833336</v>
      </c>
      <c r="B77" s="2" t="s">
        <v>227</v>
      </c>
      <c r="C77" s="2"/>
      <c r="D77" s="2" t="s">
        <v>54</v>
      </c>
      <c r="E77" s="2">
        <v>21</v>
      </c>
      <c r="F77" s="2" t="s">
        <v>70</v>
      </c>
      <c r="G77" s="2">
        <v>2</v>
      </c>
      <c r="H77" s="2" t="s">
        <v>56</v>
      </c>
      <c r="I77" s="2">
        <v>1</v>
      </c>
      <c r="J77" s="2">
        <v>32828</v>
      </c>
      <c r="K77" s="2" t="s">
        <v>93</v>
      </c>
      <c r="L77" s="2" t="s">
        <v>72</v>
      </c>
      <c r="M77" s="2">
        <v>1</v>
      </c>
      <c r="N77" s="2" t="s">
        <v>116</v>
      </c>
      <c r="O77" s="2"/>
      <c r="P77" s="2" t="str" cm="1">
        <f t="array" ref="P77">_xlfn.IFS(OR(N77="Accounting", N77="BIA", N77="Business Analytics", N77="Business Information &amp; Analytics", N77="Business undecided", N77="Finance", N77="Finance &amp; Accounting", N77="Hospitality Management", N77="Hospitality Mgmt", N77="Hospitality management", N77="Interational Business", N77="International Business", N77="Management", N77="Marketing", N77="Real Estate"), "Daniels College of Business", OR(N77="Biology", N77="Chemistry", N77="Integrated Sciences", N77="Molecular Biology", N77="Molecular biology", N77="Physiology", N77="Physiology in health and disease", N77="Math"), "Natural Sciences &amp; Mathematics", OR(N77="Computer Science", N77="Mechanical engineering"), "Engineering &amp; Computer Science", OR(N77="Anthropology", N77="Communication and Media", N77="Communciations", N77="Economics", N77="Economics and Sociology", N77="Emergent Digital Practices", N77="Environmental Science", N77="Environmental science", N77="Gender studies", N77="International Studies", N77="International studies", N77="Journalism and Finance", N77="Journalism and International Studies", N77="Political Science", N77="Psychology", N77="Psychology &amp; Economics", N77="Psychology, French", N77="Psych &amp; spanish", N77="Psych and Spanish", N77="Public policy"), "Arts, Humanities &amp; Social Sciences", OR(N77="Ecology and Biodiversity", N77="Ecology and biodiversity"), "Natural Resources &amp; Sustainability")</f>
        <v>Engineering &amp; Computer Science</v>
      </c>
      <c r="Q77" s="2">
        <f t="shared" si="4"/>
        <v>3</v>
      </c>
      <c r="R77" s="2">
        <v>7</v>
      </c>
      <c r="S77" s="2">
        <v>2</v>
      </c>
      <c r="T77" s="2"/>
      <c r="U77" s="2"/>
      <c r="V77" s="2" t="s">
        <v>77</v>
      </c>
      <c r="W77" s="13">
        <f t="shared" si="5"/>
        <v>2</v>
      </c>
      <c r="X77" s="2"/>
      <c r="Y77" s="2" t="s">
        <v>62</v>
      </c>
      <c r="Z77" s="2">
        <f t="shared" si="6"/>
        <v>3</v>
      </c>
      <c r="AA77" s="2" t="s">
        <v>62</v>
      </c>
      <c r="AB77">
        <v>3</v>
      </c>
      <c r="AC77" s="2">
        <v>1</v>
      </c>
      <c r="AD77" s="2">
        <v>2</v>
      </c>
      <c r="AE77" s="2">
        <v>4</v>
      </c>
      <c r="AF77" s="2">
        <v>3</v>
      </c>
      <c r="AG77" s="2">
        <v>1</v>
      </c>
      <c r="AH77" s="2" t="s">
        <v>63</v>
      </c>
      <c r="AI77" s="2">
        <f t="shared" si="7"/>
        <v>1</v>
      </c>
      <c r="AJ77" s="2"/>
      <c r="AK77" s="2"/>
      <c r="AL77" s="2"/>
      <c r="AM77" s="2"/>
    </row>
    <row r="78" spans="1:39" ht="16" x14ac:dyDescent="0.2">
      <c r="A78" s="4">
        <v>45799.750208333331</v>
      </c>
      <c r="B78" s="2" t="s">
        <v>228</v>
      </c>
      <c r="C78" s="2"/>
      <c r="D78" s="2" t="s">
        <v>54</v>
      </c>
      <c r="E78" s="2">
        <v>19</v>
      </c>
      <c r="F78" s="2" t="s">
        <v>55</v>
      </c>
      <c r="G78" s="2">
        <v>1</v>
      </c>
      <c r="H78" s="2" t="s">
        <v>56</v>
      </c>
      <c r="I78" s="2">
        <v>1</v>
      </c>
      <c r="J78" s="2">
        <v>90001</v>
      </c>
      <c r="K78" s="2" t="s">
        <v>57</v>
      </c>
      <c r="L78" s="2" t="s">
        <v>94</v>
      </c>
      <c r="M78" s="2">
        <v>4</v>
      </c>
      <c r="N78" s="2" t="s">
        <v>86</v>
      </c>
      <c r="O78" s="2"/>
      <c r="P78" s="2" t="str" cm="1">
        <f t="array" ref="P78">_xlfn.IFS(OR(N78="Accounting", N78="BIA", N78="Business Analytics", N78="Business Information &amp; Analytics", N78="Business undecided", N78="Finance", N78="Finance &amp; Accounting", N78="Hospitality Management", N78="Hospitality Mgmt", N78="Hospitality management", N78="Interational Business", N78="International Business", N78="Management", N78="Marketing", N78="Real Estate"), "Daniels College of Business", OR(N78="Biology", N78="Chemistry", N78="Integrated Sciences", N78="Molecular Biology", N78="Molecular biology", N78="Physiology", N78="Physiology in health and disease", N78="Math"), "Natural Sciences &amp; Mathematics", OR(N78="Computer Science", N78="Mechanical engineering"), "Engineering &amp; Computer Science", OR(N78="Anthropology", N78="Communication and Media", N78="Communciations", N78="Economics", N78="Economics and Sociology", N78="Emergent Digital Practices", N78="Environmental Science", N78="Environmental science", N78="Gender studies", N78="International Studies", N78="International studies", N78="Journalism and Finance", N78="Journalism and International Studies", N78="Political Science", N78="Psychology", N78="Psychology &amp; Economics", N78="Psychology, French", N78="Psych &amp; spanish", N78="Psych and Spanish", N78="Public policy"), "Arts, Humanities &amp; Social Sciences", OR(N78="Ecology and Biodiversity", N78="Ecology and biodiversity"), "Natural Resources &amp; Sustainability")</f>
        <v>Engineering &amp; Computer Science</v>
      </c>
      <c r="Q78" s="2">
        <f t="shared" si="4"/>
        <v>3</v>
      </c>
      <c r="R78" s="2">
        <v>2</v>
      </c>
      <c r="S78" s="2">
        <v>4</v>
      </c>
      <c r="T78" s="2"/>
      <c r="U78" s="2"/>
      <c r="V78" s="2" t="s">
        <v>67</v>
      </c>
      <c r="W78" s="13">
        <f t="shared" si="5"/>
        <v>3</v>
      </c>
      <c r="X78" s="2"/>
      <c r="Y78" s="2" t="s">
        <v>62</v>
      </c>
      <c r="Z78" s="2">
        <f t="shared" si="6"/>
        <v>3</v>
      </c>
      <c r="AA78" s="2" t="s">
        <v>63</v>
      </c>
      <c r="AB78">
        <v>1</v>
      </c>
      <c r="AC78" s="2">
        <v>2</v>
      </c>
      <c r="AD78" s="2">
        <v>1</v>
      </c>
      <c r="AE78" s="2">
        <v>4</v>
      </c>
      <c r="AF78" s="2">
        <v>3</v>
      </c>
      <c r="AG78" s="2">
        <v>1</v>
      </c>
      <c r="AH78" s="2" t="s">
        <v>68</v>
      </c>
      <c r="AI78" s="2">
        <f t="shared" si="7"/>
        <v>2</v>
      </c>
      <c r="AJ78" s="2"/>
      <c r="AK78" s="2"/>
      <c r="AL78" s="2"/>
      <c r="AM78" s="2"/>
    </row>
    <row r="79" spans="1:39" ht="16" x14ac:dyDescent="0.2">
      <c r="A79" s="4">
        <v>45799.753425925926</v>
      </c>
      <c r="B79" s="2" t="s">
        <v>229</v>
      </c>
      <c r="C79" s="2"/>
      <c r="D79" s="2" t="s">
        <v>54</v>
      </c>
      <c r="E79" s="2">
        <v>19</v>
      </c>
      <c r="F79" s="2" t="s">
        <v>55</v>
      </c>
      <c r="G79" s="2">
        <v>1</v>
      </c>
      <c r="H79" s="2" t="s">
        <v>56</v>
      </c>
      <c r="I79" s="2">
        <v>1</v>
      </c>
      <c r="J79" s="2">
        <v>95814</v>
      </c>
      <c r="K79" s="2" t="s">
        <v>93</v>
      </c>
      <c r="L79" s="2" t="s">
        <v>72</v>
      </c>
      <c r="M79" s="2">
        <v>1</v>
      </c>
      <c r="N79" s="2" t="s">
        <v>133</v>
      </c>
      <c r="O79" s="2"/>
      <c r="P79" s="2" t="str" cm="1">
        <f t="array" ref="P79">_xlfn.IFS(OR(N79="Accounting", N79="BIA", N79="Business Analytics", N79="Business Information &amp; Analytics", N79="Business undecided", N79="Finance", N79="Finance &amp; Accounting", N79="Hospitality Management", N79="Hospitality Mgmt", N79="Hospitality management", N79="Interational Business", N79="International Business", N79="Management", N79="Marketing", N79="Real Estate"), "Daniels College of Business", OR(N79="Biology", N79="Chemistry", N79="Integrated Sciences", N79="Molecular Biology", N79="Molecular biology", N79="Physiology", N79="Physiology in health and disease", N79="Math"), "Natural Sciences &amp; Mathematics", OR(N79="Computer Science", N79="Mechanical engineering"), "Engineering &amp; Computer Science", OR(N79="Anthropology", N79="Communication and Media", N79="Communciations", N79="Economics", N79="Economics and Sociology", N79="Emergent Digital Practices", N79="Environmental Science", N79="Environmental science", N79="Gender studies", N79="International Studies", N79="International studies", N79="Journalism and Finance", N79="Journalism and International Studies", N79="Political Science", N79="Psychology", N79="Psychology &amp; Economics", N79="Psychology, French", N79="Psych &amp; spanish", N79="Psych and Spanish", N79="Public policy"), "Arts, Humanities &amp; Social Sciences", OR(N79="Ecology and Biodiversity", N79="Ecology and biodiversity"), "Natural Resources &amp; Sustainability")</f>
        <v>Natural Sciences &amp; Mathematics</v>
      </c>
      <c r="Q79" s="2">
        <f t="shared" si="4"/>
        <v>4</v>
      </c>
      <c r="R79" s="2">
        <v>7</v>
      </c>
      <c r="S79" s="2">
        <v>3</v>
      </c>
      <c r="T79" s="2"/>
      <c r="U79" s="2"/>
      <c r="V79" s="2" t="s">
        <v>119</v>
      </c>
      <c r="W79" s="13">
        <f t="shared" si="5"/>
        <v>1</v>
      </c>
      <c r="X79" s="2"/>
      <c r="Y79" s="2" t="s">
        <v>62</v>
      </c>
      <c r="Z79" s="2">
        <f t="shared" si="6"/>
        <v>3</v>
      </c>
      <c r="AA79" s="2" t="s">
        <v>68</v>
      </c>
      <c r="AB79">
        <v>2</v>
      </c>
      <c r="AC79" s="2">
        <v>1</v>
      </c>
      <c r="AD79" s="2">
        <v>2</v>
      </c>
      <c r="AE79" s="2">
        <v>3</v>
      </c>
      <c r="AF79" s="2">
        <v>4</v>
      </c>
      <c r="AG79" s="2">
        <v>2</v>
      </c>
      <c r="AH79" s="2" t="s">
        <v>63</v>
      </c>
      <c r="AI79" s="2">
        <f t="shared" si="7"/>
        <v>1</v>
      </c>
      <c r="AJ79" s="2"/>
      <c r="AK79" s="2"/>
      <c r="AL79" s="2"/>
      <c r="AM79" s="2"/>
    </row>
    <row r="80" spans="1:39" ht="16" x14ac:dyDescent="0.2">
      <c r="A80" s="4">
        <v>45799.759791666664</v>
      </c>
      <c r="B80" s="2" t="s">
        <v>230</v>
      </c>
      <c r="C80" s="2"/>
      <c r="D80" s="2" t="s">
        <v>54</v>
      </c>
      <c r="E80" s="2">
        <v>20</v>
      </c>
      <c r="F80" s="2" t="s">
        <v>55</v>
      </c>
      <c r="G80" s="2">
        <v>1</v>
      </c>
      <c r="H80" s="2" t="s">
        <v>56</v>
      </c>
      <c r="I80" s="2">
        <v>1</v>
      </c>
      <c r="J80" s="2">
        <v>83401</v>
      </c>
      <c r="K80" s="2" t="s">
        <v>65</v>
      </c>
      <c r="L80" s="2" t="s">
        <v>72</v>
      </c>
      <c r="M80" s="6">
        <v>1</v>
      </c>
      <c r="N80" s="2" t="s">
        <v>231</v>
      </c>
      <c r="O80" s="2"/>
      <c r="P80" s="2" t="str" cm="1">
        <f t="array" ref="P80">_xlfn.IFS(OR(N80="Accounting", N80="BIA", N80="Business Analytics", N80="Business Information &amp; Analytics", N80="Business undecided", N80="Finance", N80="Finance &amp; Accounting", N80="Hospitality Management", N80="Hospitality Mgmt", N80="Hospitality management", N80="Interational Business", N80="International Business", N80="Management", N80="Marketing", N80="Real Estate"), "Daniels College of Business", OR(N80="Biology", N80="Chemistry", N80="Integrated Sciences", N80="Molecular Biology", N80="Molecular biology", N80="Physiology", N80="Physiology in health and disease", N80="Math"), "Natural Sciences &amp; Mathematics", OR(N80="Computer Science", N80="Mechanical engineering"), "Engineering &amp; Computer Science", OR(N80="Anthropology", N80="Communication and Media", N80="Communciations", N80="Economics", N80="Economics and Sociology", N80="Emergent Digital Practices", N80="Environmental Science", N80="Environmental science", N80="Gender studies", N80="International Studies", N80="International studies", N80="Journalism and Finance", N80="Journalism and International Studies", N80="Political Science", N80="Psychology", N80="Psychology &amp; Economics", N80="Psychology, French", N80="Psych &amp; spanish", N80="Psych and Spanish", N80="Public policy"), "Arts, Humanities &amp; Social Sciences", OR(N80="Ecology and Biodiversity", N80="Ecology and biodiversity"), "Natural Resources &amp; Sustainability")</f>
        <v>Natural Sciences &amp; Mathematics</v>
      </c>
      <c r="Q80" s="2">
        <f t="shared" si="4"/>
        <v>4</v>
      </c>
      <c r="R80" s="2">
        <v>5</v>
      </c>
      <c r="S80" s="2">
        <v>5</v>
      </c>
      <c r="T80" s="2"/>
      <c r="U80" s="2"/>
      <c r="V80" s="2" t="s">
        <v>67</v>
      </c>
      <c r="W80" s="13">
        <f t="shared" si="5"/>
        <v>3</v>
      </c>
      <c r="X80" s="2"/>
      <c r="Y80" s="2" t="s">
        <v>68</v>
      </c>
      <c r="Z80" s="2">
        <f t="shared" si="6"/>
        <v>2</v>
      </c>
      <c r="AA80" s="2" t="s">
        <v>63</v>
      </c>
      <c r="AB80">
        <v>1</v>
      </c>
      <c r="AC80" s="2">
        <v>1</v>
      </c>
      <c r="AD80" s="2">
        <v>4</v>
      </c>
      <c r="AE80" s="2">
        <v>3</v>
      </c>
      <c r="AF80" s="2">
        <v>2</v>
      </c>
      <c r="AG80" s="2">
        <v>1</v>
      </c>
      <c r="AH80" s="2" t="s">
        <v>68</v>
      </c>
      <c r="AI80" s="2">
        <f t="shared" si="7"/>
        <v>2</v>
      </c>
      <c r="AJ80" s="2"/>
      <c r="AK80" s="2"/>
      <c r="AL80" s="2"/>
      <c r="AM80" s="2"/>
    </row>
    <row r="81" spans="1:39" ht="16" x14ac:dyDescent="0.2">
      <c r="A81" s="4">
        <v>45799.761655092596</v>
      </c>
      <c r="B81" s="2" t="s">
        <v>232</v>
      </c>
      <c r="C81" s="2"/>
      <c r="D81" s="2" t="s">
        <v>54</v>
      </c>
      <c r="E81" s="2">
        <v>22</v>
      </c>
      <c r="F81" s="2" t="s">
        <v>70</v>
      </c>
      <c r="G81" s="2">
        <v>2</v>
      </c>
      <c r="H81" s="2" t="s">
        <v>56</v>
      </c>
      <c r="I81" s="2">
        <v>1</v>
      </c>
      <c r="J81" s="2">
        <v>80128</v>
      </c>
      <c r="K81" s="2" t="s">
        <v>89</v>
      </c>
      <c r="L81" s="6" t="s">
        <v>66</v>
      </c>
      <c r="M81" s="2">
        <v>2</v>
      </c>
      <c r="N81" s="2" t="s">
        <v>133</v>
      </c>
      <c r="O81" s="2"/>
      <c r="P81" s="2" t="str" cm="1">
        <f t="array" ref="P81">_xlfn.IFS(OR(N81="Accounting", N81="BIA", N81="Business Analytics", N81="Business Information &amp; Analytics", N81="Business undecided", N81="Finance", N81="Finance &amp; Accounting", N81="Hospitality Management", N81="Hospitality Mgmt", N81="Hospitality management", N81="Interational Business", N81="International Business", N81="Management", N81="Marketing", N81="Real Estate"), "Daniels College of Business", OR(N81="Biology", N81="Chemistry", N81="Integrated Sciences", N81="Molecular Biology", N81="Molecular biology", N81="Physiology", N81="Physiology in health and disease", N81="Math"), "Natural Sciences &amp; Mathematics", OR(N81="Computer Science", N81="Mechanical engineering"), "Engineering &amp; Computer Science", OR(N81="Anthropology", N81="Communication and Media", N81="Communciations", N81="Economics", N81="Economics and Sociology", N81="Emergent Digital Practices", N81="Environmental Science", N81="Environmental science", N81="Gender studies", N81="International Studies", N81="International studies", N81="Journalism and Finance", N81="Journalism and International Studies", N81="Political Science", N81="Psychology", N81="Psychology &amp; Economics", N81="Psychology, French", N81="Psych &amp; spanish", N81="Psych and Spanish", N81="Public policy"), "Arts, Humanities &amp; Social Sciences", OR(N81="Ecology and Biodiversity", N81="Ecology and biodiversity"), "Natural Resources &amp; Sustainability")</f>
        <v>Natural Sciences &amp; Mathematics</v>
      </c>
      <c r="Q81" s="2">
        <f t="shared" si="4"/>
        <v>4</v>
      </c>
      <c r="R81" s="2">
        <v>8</v>
      </c>
      <c r="S81" s="2">
        <v>4</v>
      </c>
      <c r="T81" s="5">
        <v>45721</v>
      </c>
      <c r="U81" s="5">
        <v>45721</v>
      </c>
      <c r="V81" s="2" t="s">
        <v>77</v>
      </c>
      <c r="W81" s="13">
        <f t="shared" si="5"/>
        <v>2</v>
      </c>
      <c r="X81" s="2"/>
      <c r="Y81" s="2" t="s">
        <v>62</v>
      </c>
      <c r="Z81" s="2">
        <f t="shared" si="6"/>
        <v>3</v>
      </c>
      <c r="AA81" s="2" t="s">
        <v>68</v>
      </c>
      <c r="AB81">
        <v>2</v>
      </c>
      <c r="AC81" s="2">
        <v>1</v>
      </c>
      <c r="AD81" s="2">
        <v>3</v>
      </c>
      <c r="AE81" s="2">
        <v>4</v>
      </c>
      <c r="AF81" s="2">
        <v>2</v>
      </c>
      <c r="AG81" s="2">
        <v>1</v>
      </c>
      <c r="AH81" s="2" t="s">
        <v>68</v>
      </c>
      <c r="AI81" s="2">
        <f t="shared" si="7"/>
        <v>2</v>
      </c>
      <c r="AJ81" s="2"/>
      <c r="AK81" s="2"/>
      <c r="AL81" s="2"/>
      <c r="AM81" s="2"/>
    </row>
    <row r="82" spans="1:39" ht="16" x14ac:dyDescent="0.2">
      <c r="A82" s="4">
        <v>45799.774965277778</v>
      </c>
      <c r="B82" s="2" t="s">
        <v>233</v>
      </c>
      <c r="C82" s="2"/>
      <c r="D82" s="2" t="s">
        <v>54</v>
      </c>
      <c r="E82" s="2">
        <v>20</v>
      </c>
      <c r="F82" s="2" t="s">
        <v>70</v>
      </c>
      <c r="G82" s="2">
        <v>2</v>
      </c>
      <c r="H82" s="2" t="s">
        <v>56</v>
      </c>
      <c r="I82" s="2">
        <v>1</v>
      </c>
      <c r="J82" s="2"/>
      <c r="K82" s="2" t="s">
        <v>93</v>
      </c>
      <c r="L82" s="2" t="s">
        <v>94</v>
      </c>
      <c r="M82" s="2">
        <v>4</v>
      </c>
      <c r="N82" s="2" t="s">
        <v>116</v>
      </c>
      <c r="O82" s="2"/>
      <c r="P82" s="2" t="str" cm="1">
        <f t="array" ref="P82">_xlfn.IFS(OR(N82="Accounting", N82="BIA", N82="Business Analytics", N82="Business Information &amp; Analytics", N82="Business undecided", N82="Finance", N82="Finance &amp; Accounting", N82="Hospitality Management", N82="Hospitality Mgmt", N82="Hospitality management", N82="Interational Business", N82="International Business", N82="Management", N82="Marketing", N82="Real Estate"), "Daniels College of Business", OR(N82="Biology", N82="Chemistry", N82="Integrated Sciences", N82="Molecular Biology", N82="Molecular biology", N82="Physiology", N82="Physiology in health and disease", N82="Math"), "Natural Sciences &amp; Mathematics", OR(N82="Computer Science", N82="Mechanical engineering"), "Engineering &amp; Computer Science", OR(N82="Anthropology", N82="Communication and Media", N82="Communciations", N82="Economics", N82="Economics and Sociology", N82="Emergent Digital Practices", N82="Environmental Science", N82="Environmental science", N82="Gender studies", N82="International Studies", N82="International studies", N82="Journalism and Finance", N82="Journalism and International Studies", N82="Political Science", N82="Psychology", N82="Psychology &amp; Economics", N82="Psychology, French", N82="Psych &amp; spanish", N82="Psych and Spanish", N82="Public policy"), "Arts, Humanities &amp; Social Sciences", OR(N82="Ecology and Biodiversity", N82="Ecology and biodiversity"), "Natural Resources &amp; Sustainability")</f>
        <v>Engineering &amp; Computer Science</v>
      </c>
      <c r="Q82" s="2">
        <f t="shared" si="4"/>
        <v>3</v>
      </c>
      <c r="R82" s="2">
        <v>8</v>
      </c>
      <c r="S82" s="2">
        <v>3</v>
      </c>
      <c r="T82" s="2"/>
      <c r="U82" s="2"/>
      <c r="V82" s="2" t="s">
        <v>60</v>
      </c>
      <c r="W82" s="13">
        <f t="shared" si="5"/>
        <v>4</v>
      </c>
      <c r="X82" s="2"/>
      <c r="Y82" s="2" t="s">
        <v>62</v>
      </c>
      <c r="Z82" s="2">
        <f t="shared" si="6"/>
        <v>3</v>
      </c>
      <c r="AA82" s="2" t="s">
        <v>107</v>
      </c>
      <c r="AB82">
        <v>4</v>
      </c>
      <c r="AC82" s="2">
        <v>3</v>
      </c>
      <c r="AD82" s="2">
        <v>2</v>
      </c>
      <c r="AE82" s="2">
        <v>4</v>
      </c>
      <c r="AF82" s="2">
        <v>1</v>
      </c>
      <c r="AG82" s="2">
        <v>4</v>
      </c>
      <c r="AH82" s="2" t="s">
        <v>63</v>
      </c>
      <c r="AI82" s="2">
        <f t="shared" si="7"/>
        <v>1</v>
      </c>
      <c r="AJ82" s="2"/>
      <c r="AK82" s="2"/>
      <c r="AL82" s="2"/>
      <c r="AM82" s="2"/>
    </row>
    <row r="83" spans="1:39" ht="16" x14ac:dyDescent="0.2">
      <c r="A83" s="4">
        <v>45799.784548611111</v>
      </c>
      <c r="B83" s="2" t="s">
        <v>234</v>
      </c>
      <c r="C83" s="2"/>
      <c r="D83" s="2" t="s">
        <v>54</v>
      </c>
      <c r="E83" s="2">
        <v>19</v>
      </c>
      <c r="F83" s="2" t="s">
        <v>55</v>
      </c>
      <c r="G83" s="2">
        <v>1</v>
      </c>
      <c r="H83" s="2" t="s">
        <v>56</v>
      </c>
      <c r="I83" s="2">
        <v>1</v>
      </c>
      <c r="J83" s="2">
        <v>80210</v>
      </c>
      <c r="K83" s="2" t="s">
        <v>89</v>
      </c>
      <c r="L83" s="2" t="s">
        <v>66</v>
      </c>
      <c r="M83" s="2">
        <v>2</v>
      </c>
      <c r="N83" s="2" t="s">
        <v>86</v>
      </c>
      <c r="O83" s="2"/>
      <c r="P83" s="2" t="str" cm="1">
        <f t="array" ref="P83">_xlfn.IFS(OR(N83="Accounting", N83="BIA", N83="Business Analytics", N83="Business Information &amp; Analytics", N83="Business undecided", N83="Finance", N83="Finance &amp; Accounting", N83="Hospitality Management", N83="Hospitality Mgmt", N83="Hospitality management", N83="Interational Business", N83="International Business", N83="Management", N83="Marketing", N83="Real Estate"), "Daniels College of Business", OR(N83="Biology", N83="Chemistry", N83="Integrated Sciences", N83="Molecular Biology", N83="Molecular biology", N83="Physiology", N83="Physiology in health and disease", N83="Math"), "Natural Sciences &amp; Mathematics", OR(N83="Computer Science", N83="Mechanical engineering"), "Engineering &amp; Computer Science", OR(N83="Anthropology", N83="Communication and Media", N83="Communciations", N83="Economics", N83="Economics and Sociology", N83="Emergent Digital Practices", N83="Environmental Science", N83="Environmental science", N83="Gender studies", N83="International Studies", N83="International studies", N83="Journalism and Finance", N83="Journalism and International Studies", N83="Political Science", N83="Psychology", N83="Psychology &amp; Economics", N83="Psychology, French", N83="Psych &amp; spanish", N83="Psych and Spanish", N83="Public policy"), "Arts, Humanities &amp; Social Sciences", OR(N83="Ecology and Biodiversity", N83="Ecology and biodiversity"), "Natural Resources &amp; Sustainability")</f>
        <v>Engineering &amp; Computer Science</v>
      </c>
      <c r="Q83" s="2">
        <f t="shared" si="4"/>
        <v>3</v>
      </c>
      <c r="R83" s="2">
        <v>8</v>
      </c>
      <c r="S83" s="2">
        <v>5</v>
      </c>
      <c r="T83" s="2"/>
      <c r="U83" s="2"/>
      <c r="V83" s="2" t="s">
        <v>67</v>
      </c>
      <c r="W83" s="13">
        <f t="shared" si="5"/>
        <v>3</v>
      </c>
      <c r="X83" s="2"/>
      <c r="Y83" s="2" t="s">
        <v>68</v>
      </c>
      <c r="Z83" s="2">
        <f t="shared" si="6"/>
        <v>2</v>
      </c>
      <c r="AA83" s="2" t="s">
        <v>68</v>
      </c>
      <c r="AB83">
        <v>2</v>
      </c>
      <c r="AC83" s="2">
        <v>4</v>
      </c>
      <c r="AD83" s="2">
        <v>1</v>
      </c>
      <c r="AE83" s="2">
        <v>3</v>
      </c>
      <c r="AF83" s="2">
        <v>2</v>
      </c>
      <c r="AG83" s="2">
        <v>2</v>
      </c>
      <c r="AH83" s="2" t="s">
        <v>101</v>
      </c>
      <c r="AI83" s="2">
        <f t="shared" si="7"/>
        <v>3</v>
      </c>
      <c r="AJ83" s="2"/>
      <c r="AK83" s="2"/>
      <c r="AL83" s="2"/>
      <c r="AM83" s="2"/>
    </row>
    <row r="84" spans="1:39" ht="16" x14ac:dyDescent="0.2">
      <c r="A84" s="4">
        <v>45799.78869212963</v>
      </c>
      <c r="B84" s="2" t="s">
        <v>235</v>
      </c>
      <c r="C84" s="2"/>
      <c r="D84" s="2" t="s">
        <v>54</v>
      </c>
      <c r="E84" s="2">
        <v>20</v>
      </c>
      <c r="F84" s="2" t="s">
        <v>55</v>
      </c>
      <c r="G84" s="2">
        <v>1</v>
      </c>
      <c r="H84" s="2" t="s">
        <v>56</v>
      </c>
      <c r="I84" s="2">
        <v>1</v>
      </c>
      <c r="J84" s="2"/>
      <c r="K84" s="2" t="s">
        <v>65</v>
      </c>
      <c r="L84" s="2" t="s">
        <v>72</v>
      </c>
      <c r="M84" s="6">
        <v>1</v>
      </c>
      <c r="N84" s="2" t="s">
        <v>86</v>
      </c>
      <c r="O84" s="2"/>
      <c r="P84" s="2" t="str" cm="1">
        <f t="array" ref="P84">_xlfn.IFS(OR(N84="Accounting", N84="BIA", N84="Business Analytics", N84="Business Information &amp; Analytics", N84="Business undecided", N84="Finance", N84="Finance &amp; Accounting", N84="Hospitality Management", N84="Hospitality Mgmt", N84="Hospitality management", N84="Interational Business", N84="International Business", N84="Management", N84="Marketing", N84="Real Estate"), "Daniels College of Business", OR(N84="Biology", N84="Chemistry", N84="Integrated Sciences", N84="Molecular Biology", N84="Molecular biology", N84="Physiology", N84="Physiology in health and disease", N84="Math"), "Natural Sciences &amp; Mathematics", OR(N84="Computer Science", N84="Mechanical engineering"), "Engineering &amp; Computer Science", OR(N84="Anthropology", N84="Communication and Media", N84="Communciations", N84="Economics", N84="Economics and Sociology", N84="Emergent Digital Practices", N84="Environmental Science", N84="Environmental science", N84="Gender studies", N84="International Studies", N84="International studies", N84="Journalism and Finance", N84="Journalism and International Studies", N84="Political Science", N84="Psychology", N84="Psychology &amp; Economics", N84="Psychology, French", N84="Psych &amp; spanish", N84="Psych and Spanish", N84="Public policy"), "Arts, Humanities &amp; Social Sciences", OR(N84="Ecology and Biodiversity", N84="Ecology and biodiversity"), "Natural Resources &amp; Sustainability")</f>
        <v>Engineering &amp; Computer Science</v>
      </c>
      <c r="Q84" s="2">
        <f t="shared" si="4"/>
        <v>3</v>
      </c>
      <c r="R84" s="2">
        <v>7</v>
      </c>
      <c r="S84" s="2">
        <v>5</v>
      </c>
      <c r="T84" s="2"/>
      <c r="U84" s="2"/>
      <c r="V84" s="2" t="s">
        <v>77</v>
      </c>
      <c r="W84" s="13">
        <f t="shared" si="5"/>
        <v>2</v>
      </c>
      <c r="X84" s="2"/>
      <c r="Y84" s="2" t="s">
        <v>68</v>
      </c>
      <c r="Z84" s="2">
        <f t="shared" si="6"/>
        <v>2</v>
      </c>
      <c r="AA84" s="2" t="s">
        <v>68</v>
      </c>
      <c r="AB84">
        <v>2</v>
      </c>
      <c r="AC84" s="2">
        <v>2</v>
      </c>
      <c r="AD84" s="2">
        <v>3</v>
      </c>
      <c r="AE84" s="2">
        <v>4</v>
      </c>
      <c r="AF84" s="2">
        <v>1</v>
      </c>
      <c r="AG84" s="2">
        <v>3</v>
      </c>
      <c r="AH84" s="2" t="s">
        <v>63</v>
      </c>
      <c r="AI84" s="2">
        <f t="shared" si="7"/>
        <v>1</v>
      </c>
      <c r="AJ84" s="2"/>
      <c r="AK84" s="2"/>
      <c r="AL84" s="2"/>
      <c r="AM84" s="2"/>
    </row>
    <row r="85" spans="1:39" ht="16" x14ac:dyDescent="0.2">
      <c r="A85" s="4">
        <v>45799.818379629629</v>
      </c>
      <c r="B85" s="2" t="s">
        <v>236</v>
      </c>
      <c r="C85" s="2"/>
      <c r="D85" s="2" t="s">
        <v>54</v>
      </c>
      <c r="E85" s="2">
        <v>21</v>
      </c>
      <c r="F85" s="2" t="s">
        <v>55</v>
      </c>
      <c r="G85" s="2">
        <v>1</v>
      </c>
      <c r="H85" s="2" t="s">
        <v>56</v>
      </c>
      <c r="I85" s="2">
        <v>1</v>
      </c>
      <c r="J85" s="2">
        <v>78750</v>
      </c>
      <c r="K85" s="2" t="s">
        <v>93</v>
      </c>
      <c r="L85" s="6" t="s">
        <v>66</v>
      </c>
      <c r="M85" s="2">
        <v>2</v>
      </c>
      <c r="N85" s="2" t="s">
        <v>116</v>
      </c>
      <c r="O85" s="2"/>
      <c r="P85" s="2" t="str" cm="1">
        <f t="array" ref="P85">_xlfn.IFS(OR(N85="Accounting", N85="BIA", N85="Business Analytics", N85="Business Information &amp; Analytics", N85="Business undecided", N85="Finance", N85="Finance &amp; Accounting", N85="Hospitality Management", N85="Hospitality Mgmt", N85="Hospitality management", N85="Interational Business", N85="International Business", N85="Management", N85="Marketing", N85="Real Estate"), "Daniels College of Business", OR(N85="Biology", N85="Chemistry", N85="Integrated Sciences", N85="Molecular Biology", N85="Molecular biology", N85="Physiology", N85="Physiology in health and disease", N85="Math"), "Natural Sciences &amp; Mathematics", OR(N85="Computer Science", N85="Mechanical engineering"), "Engineering &amp; Computer Science", OR(N85="Anthropology", N85="Communication and Media", N85="Communciations", N85="Economics", N85="Economics and Sociology", N85="Emergent Digital Practices", N85="Environmental Science", N85="Environmental science", N85="Gender studies", N85="International Studies", N85="International studies", N85="Journalism and Finance", N85="Journalism and International Studies", N85="Political Science", N85="Psychology", N85="Psychology &amp; Economics", N85="Psychology, French", N85="Psych &amp; spanish", N85="Psych and Spanish", N85="Public policy"), "Arts, Humanities &amp; Social Sciences", OR(N85="Ecology and Biodiversity", N85="Ecology and biodiversity"), "Natural Resources &amp; Sustainability")</f>
        <v>Engineering &amp; Computer Science</v>
      </c>
      <c r="Q85" s="2">
        <f t="shared" si="4"/>
        <v>3</v>
      </c>
      <c r="R85" s="2">
        <v>7</v>
      </c>
      <c r="S85" s="2">
        <v>3</v>
      </c>
      <c r="T85" s="2"/>
      <c r="U85" s="2"/>
      <c r="V85" s="2" t="s">
        <v>60</v>
      </c>
      <c r="W85" s="13">
        <f t="shared" si="5"/>
        <v>4</v>
      </c>
      <c r="X85" s="2"/>
      <c r="Y85" s="2" t="s">
        <v>62</v>
      </c>
      <c r="Z85" s="2">
        <f t="shared" si="6"/>
        <v>3</v>
      </c>
      <c r="AA85" s="2" t="s">
        <v>63</v>
      </c>
      <c r="AB85">
        <v>1</v>
      </c>
      <c r="AC85" s="2">
        <v>1</v>
      </c>
      <c r="AD85" s="2">
        <v>2</v>
      </c>
      <c r="AE85" s="2">
        <v>3</v>
      </c>
      <c r="AF85" s="2">
        <v>4</v>
      </c>
      <c r="AG85" s="2">
        <v>1</v>
      </c>
      <c r="AH85" s="2" t="s">
        <v>63</v>
      </c>
      <c r="AI85" s="2">
        <f t="shared" si="7"/>
        <v>1</v>
      </c>
      <c r="AJ85" s="2"/>
      <c r="AK85" s="2"/>
      <c r="AL85" s="2"/>
      <c r="AM85" s="2"/>
    </row>
    <row r="86" spans="1:39" ht="16" x14ac:dyDescent="0.2">
      <c r="A86" s="4">
        <v>45799.88380787037</v>
      </c>
      <c r="B86" s="2" t="s">
        <v>237</v>
      </c>
      <c r="C86" s="2"/>
      <c r="D86" s="2" t="s">
        <v>54</v>
      </c>
      <c r="E86" s="2">
        <v>21</v>
      </c>
      <c r="F86" s="2" t="s">
        <v>55</v>
      </c>
      <c r="G86" s="2">
        <v>1</v>
      </c>
      <c r="H86" s="2" t="s">
        <v>56</v>
      </c>
      <c r="I86" s="2">
        <v>1</v>
      </c>
      <c r="J86" s="2"/>
      <c r="K86" s="2" t="s">
        <v>93</v>
      </c>
      <c r="L86" s="2" t="s">
        <v>94</v>
      </c>
      <c r="M86" s="2">
        <v>4</v>
      </c>
      <c r="N86" s="2" t="s">
        <v>86</v>
      </c>
      <c r="O86" s="2"/>
      <c r="P86" s="2" t="str" cm="1">
        <f t="array" ref="P86">_xlfn.IFS(OR(N86="Accounting", N86="BIA", N86="Business Analytics", N86="Business Information &amp; Analytics", N86="Business undecided", N86="Finance", N86="Finance &amp; Accounting", N86="Hospitality Management", N86="Hospitality Mgmt", N86="Hospitality management", N86="Interational Business", N86="International Business", N86="Management", N86="Marketing", N86="Real Estate"), "Daniels College of Business", OR(N86="Biology", N86="Chemistry", N86="Integrated Sciences", N86="Molecular Biology", N86="Molecular biology", N86="Physiology", N86="Physiology in health and disease", N86="Math"), "Natural Sciences &amp; Mathematics", OR(N86="Computer Science", N86="Mechanical engineering"), "Engineering &amp; Computer Science", OR(N86="Anthropology", N86="Communication and Media", N86="Communciations", N86="Economics", N86="Economics and Sociology", N86="Emergent Digital Practices", N86="Environmental Science", N86="Environmental science", N86="Gender studies", N86="International Studies", N86="International studies", N86="Journalism and Finance", N86="Journalism and International Studies", N86="Political Science", N86="Psychology", N86="Psychology &amp; Economics", N86="Psychology, French", N86="Psych &amp; spanish", N86="Psych and Spanish", N86="Public policy"), "Arts, Humanities &amp; Social Sciences", OR(N86="Ecology and Biodiversity", N86="Ecology and biodiversity"), "Natural Resources &amp; Sustainability")</f>
        <v>Engineering &amp; Computer Science</v>
      </c>
      <c r="Q86" s="2">
        <f t="shared" si="4"/>
        <v>3</v>
      </c>
      <c r="R86" s="2">
        <v>5</v>
      </c>
      <c r="S86" s="2">
        <v>2</v>
      </c>
      <c r="T86" s="2"/>
      <c r="U86" s="2"/>
      <c r="V86" s="2" t="s">
        <v>119</v>
      </c>
      <c r="W86" s="13">
        <f t="shared" si="5"/>
        <v>1</v>
      </c>
      <c r="X86" s="2"/>
      <c r="Y86" s="2" t="s">
        <v>68</v>
      </c>
      <c r="Z86" s="2">
        <f t="shared" si="6"/>
        <v>2</v>
      </c>
      <c r="AA86" s="2" t="s">
        <v>68</v>
      </c>
      <c r="AB86">
        <v>2</v>
      </c>
      <c r="AC86" s="2">
        <v>2</v>
      </c>
      <c r="AD86" s="2">
        <v>4</v>
      </c>
      <c r="AE86" s="2">
        <v>1</v>
      </c>
      <c r="AF86" s="2">
        <v>3</v>
      </c>
      <c r="AG86" s="2">
        <v>1</v>
      </c>
      <c r="AH86" s="2" t="s">
        <v>63</v>
      </c>
      <c r="AI86" s="2">
        <f t="shared" si="7"/>
        <v>1</v>
      </c>
      <c r="AJ86" s="2"/>
      <c r="AK86" s="2"/>
      <c r="AL86" s="2"/>
      <c r="AM86" s="2"/>
    </row>
    <row r="87" spans="1:39" ht="16" x14ac:dyDescent="0.2">
      <c r="A87" s="4">
        <v>45800.513356481482</v>
      </c>
      <c r="B87" s="2" t="s">
        <v>238</v>
      </c>
      <c r="C87" s="2"/>
      <c r="D87" s="2" t="s">
        <v>54</v>
      </c>
      <c r="E87" s="2">
        <v>20</v>
      </c>
      <c r="F87" s="2" t="s">
        <v>70</v>
      </c>
      <c r="G87" s="2">
        <v>2</v>
      </c>
      <c r="H87" s="2" t="s">
        <v>56</v>
      </c>
      <c r="I87" s="2">
        <v>1</v>
      </c>
      <c r="J87" s="2">
        <v>2108</v>
      </c>
      <c r="K87" s="2" t="s">
        <v>71</v>
      </c>
      <c r="L87" s="2" t="s">
        <v>94</v>
      </c>
      <c r="M87" s="2">
        <v>4</v>
      </c>
      <c r="N87" s="2" t="s">
        <v>116</v>
      </c>
      <c r="O87" s="2"/>
      <c r="P87" s="2" t="str" cm="1">
        <f t="array" ref="P87">_xlfn.IFS(OR(N87="Accounting", N87="BIA", N87="Business Analytics", N87="Business Information &amp; Analytics", N87="Business undecided", N87="Finance", N87="Finance &amp; Accounting", N87="Hospitality Management", N87="Hospitality Mgmt", N87="Hospitality management", N87="Interational Business", N87="International Business", N87="Management", N87="Marketing", N87="Real Estate"), "Daniels College of Business", OR(N87="Biology", N87="Chemistry", N87="Integrated Sciences", N87="Molecular Biology", N87="Molecular biology", N87="Physiology", N87="Physiology in health and disease", N87="Math"), "Natural Sciences &amp; Mathematics", OR(N87="Computer Science", N87="Mechanical engineering"), "Engineering &amp; Computer Science", OR(N87="Anthropology", N87="Communication and Media", N87="Communciations", N87="Economics", N87="Economics and Sociology", N87="Emergent Digital Practices", N87="Environmental Science", N87="Environmental science", N87="Gender studies", N87="International Studies", N87="International studies", N87="Journalism and Finance", N87="Journalism and International Studies", N87="Political Science", N87="Psychology", N87="Psychology &amp; Economics", N87="Psychology, French", N87="Psych &amp; spanish", N87="Psych and Spanish", N87="Public policy"), "Arts, Humanities &amp; Social Sciences", OR(N87="Ecology and Biodiversity", N87="Ecology and biodiversity"), "Natural Resources &amp; Sustainability")</f>
        <v>Engineering &amp; Computer Science</v>
      </c>
      <c r="Q87" s="2">
        <f t="shared" si="4"/>
        <v>3</v>
      </c>
      <c r="R87" s="2">
        <v>9</v>
      </c>
      <c r="S87" s="2">
        <v>4</v>
      </c>
      <c r="T87" s="2"/>
      <c r="U87" s="2"/>
      <c r="V87" s="2" t="s">
        <v>119</v>
      </c>
      <c r="W87" s="13">
        <f t="shared" si="5"/>
        <v>1</v>
      </c>
      <c r="X87" s="2"/>
      <c r="Y87" s="2" t="s">
        <v>107</v>
      </c>
      <c r="Z87" s="2">
        <f t="shared" si="6"/>
        <v>4</v>
      </c>
      <c r="AA87" s="2" t="s">
        <v>63</v>
      </c>
      <c r="AB87">
        <v>1</v>
      </c>
      <c r="AC87" s="2">
        <v>1</v>
      </c>
      <c r="AD87" s="2">
        <v>2</v>
      </c>
      <c r="AE87" s="2">
        <v>4</v>
      </c>
      <c r="AF87" s="2">
        <v>3</v>
      </c>
      <c r="AG87" s="2">
        <v>1</v>
      </c>
      <c r="AH87" s="2" t="s">
        <v>63</v>
      </c>
      <c r="AI87" s="2">
        <f t="shared" si="7"/>
        <v>1</v>
      </c>
      <c r="AJ87" s="2"/>
      <c r="AK87" s="2"/>
      <c r="AL87" s="2"/>
      <c r="AM87" s="2"/>
    </row>
    <row r="88" spans="1:39" ht="16" x14ac:dyDescent="0.2">
      <c r="A88" s="4">
        <v>45800.667696759258</v>
      </c>
      <c r="B88" s="2" t="s">
        <v>239</v>
      </c>
      <c r="C88" s="2"/>
      <c r="D88" s="2" t="s">
        <v>54</v>
      </c>
      <c r="E88" s="2">
        <v>20</v>
      </c>
      <c r="F88" s="2" t="s">
        <v>55</v>
      </c>
      <c r="G88" s="2">
        <v>1</v>
      </c>
      <c r="H88" s="2" t="s">
        <v>183</v>
      </c>
      <c r="I88" s="2">
        <v>2</v>
      </c>
      <c r="J88" s="2">
        <v>64737</v>
      </c>
      <c r="K88" s="2" t="s">
        <v>195</v>
      </c>
      <c r="L88" s="2" t="s">
        <v>81</v>
      </c>
      <c r="M88" s="2">
        <v>3</v>
      </c>
      <c r="N88" s="2" t="s">
        <v>133</v>
      </c>
      <c r="O88" s="2"/>
      <c r="P88" s="2" t="str" cm="1">
        <f t="array" ref="P88">_xlfn.IFS(OR(N88="Accounting", N88="BIA", N88="Business Analytics", N88="Business Information &amp; Analytics", N88="Business undecided", N88="Finance", N88="Finance &amp; Accounting", N88="Hospitality Management", N88="Hospitality Mgmt", N88="Hospitality management", N88="Interational Business", N88="International Business", N88="Management", N88="Marketing", N88="Real Estate"), "Daniels College of Business", OR(N88="Biology", N88="Chemistry", N88="Integrated Sciences", N88="Molecular Biology", N88="Molecular biology", N88="Physiology", N88="Physiology in health and disease", N88="Math"), "Natural Sciences &amp; Mathematics", OR(N88="Computer Science", N88="Mechanical engineering"), "Engineering &amp; Computer Science", OR(N88="Anthropology", N88="Communication and Media", N88="Communciations", N88="Economics", N88="Economics and Sociology", N88="Emergent Digital Practices", N88="Environmental Science", N88="Environmental science", N88="Gender studies", N88="International Studies", N88="International studies", N88="Journalism and Finance", N88="Journalism and International Studies", N88="Political Science", N88="Psychology", N88="Psychology &amp; Economics", N88="Psychology, French", N88="Psych &amp; spanish", N88="Psych and Spanish", N88="Public policy"), "Arts, Humanities &amp; Social Sciences", OR(N88="Ecology and Biodiversity", N88="Ecology and biodiversity"), "Natural Resources &amp; Sustainability")</f>
        <v>Natural Sciences &amp; Mathematics</v>
      </c>
      <c r="Q88" s="2">
        <f t="shared" si="4"/>
        <v>4</v>
      </c>
      <c r="R88" s="2">
        <v>1</v>
      </c>
      <c r="S88" s="2">
        <v>1</v>
      </c>
      <c r="T88" s="2">
        <v>0</v>
      </c>
      <c r="U88" s="2">
        <v>0</v>
      </c>
      <c r="V88" s="2" t="s">
        <v>67</v>
      </c>
      <c r="W88" s="13">
        <f t="shared" si="5"/>
        <v>3</v>
      </c>
      <c r="X88" s="2"/>
      <c r="Y88" s="2" t="s">
        <v>68</v>
      </c>
      <c r="Z88" s="2">
        <f t="shared" si="6"/>
        <v>2</v>
      </c>
      <c r="AA88" s="2" t="s">
        <v>63</v>
      </c>
      <c r="AB88">
        <v>1</v>
      </c>
      <c r="AC88" s="2">
        <v>1</v>
      </c>
      <c r="AD88" s="2">
        <v>2</v>
      </c>
      <c r="AE88" s="2">
        <v>4</v>
      </c>
      <c r="AF88" s="2">
        <v>3</v>
      </c>
      <c r="AG88" s="2">
        <v>1</v>
      </c>
      <c r="AH88" s="2" t="s">
        <v>63</v>
      </c>
      <c r="AI88" s="2">
        <f t="shared" si="7"/>
        <v>1</v>
      </c>
      <c r="AJ88" s="2"/>
      <c r="AK88" s="2"/>
      <c r="AL88" s="2"/>
      <c r="AM88" s="2"/>
    </row>
    <row r="89" spans="1:39" ht="16" x14ac:dyDescent="0.2">
      <c r="A89" s="4">
        <v>45802.071145833332</v>
      </c>
      <c r="B89" s="2" t="s">
        <v>240</v>
      </c>
      <c r="C89" s="2"/>
      <c r="D89" s="2" t="s">
        <v>54</v>
      </c>
      <c r="E89" s="2">
        <v>19</v>
      </c>
      <c r="F89" s="2" t="s">
        <v>55</v>
      </c>
      <c r="G89" s="2">
        <v>1</v>
      </c>
      <c r="H89" s="2" t="s">
        <v>56</v>
      </c>
      <c r="I89" s="2">
        <v>1</v>
      </c>
      <c r="J89" s="2"/>
      <c r="K89" s="2" t="s">
        <v>65</v>
      </c>
      <c r="L89" s="2" t="s">
        <v>94</v>
      </c>
      <c r="M89" s="2">
        <v>4</v>
      </c>
      <c r="N89" s="2" t="s">
        <v>241</v>
      </c>
      <c r="O89" s="2"/>
      <c r="P89" s="2" t="str" cm="1">
        <f t="array" ref="P89">_xlfn.IFS(OR(N89="Accounting", N89="BIA", N89="Business Analytics", N89="Business Information &amp; Analytics", N89="Business undecided", N89="Finance", N89="Finance &amp; Accounting", N89="Hospitality Management", N89="Hospitality Mgmt", N89="Hospitality management", N89="Interational Business", N89="International Business", N89="Management", N89="Marketing", N89="Real Estate"), "Daniels College of Business", OR(N89="Biology", N89="Chemistry", N89="Integrated Sciences", N89="Molecular Biology", N89="Molecular biology", N89="Physiology", N89="Physiology in health and disease", N89="Math"), "Natural Sciences &amp; Mathematics", OR(N89="Computer Science", N89="Mechanical engineering"), "Engineering &amp; Computer Science", OR(N89="Anthropology", N89="Communication and Media", N89="Communciations", N89="Economics", N89="Economics and Sociology", N89="Emergent Digital Practices", N89="Environmental Science", N89="Environmental science", N89="Gender studies", N89="International Studies", N89="International studies", N89="Journalism and Finance", N89="Journalism and International Studies", N89="Political Science", N89="Psychology", N89="Psychology &amp; Economics", N89="Psychology, French", N89="Psych &amp; spanish", N89="Psych and Spanish", N89="Public policy"), "Arts, Humanities &amp; Social Sciences", OR(N89="Ecology and Biodiversity", N89="Ecology and biodiversity"), "Natural Resources &amp; Sustainability")</f>
        <v>Natural Sciences &amp; Mathematics</v>
      </c>
      <c r="Q89" s="2">
        <f t="shared" si="4"/>
        <v>4</v>
      </c>
      <c r="R89" s="2">
        <v>8</v>
      </c>
      <c r="S89" s="2">
        <v>5</v>
      </c>
      <c r="T89" s="2"/>
      <c r="U89" s="2"/>
      <c r="V89" s="2" t="s">
        <v>60</v>
      </c>
      <c r="W89" s="13">
        <f t="shared" si="5"/>
        <v>4</v>
      </c>
      <c r="X89" s="2"/>
      <c r="Y89" s="2" t="s">
        <v>68</v>
      </c>
      <c r="Z89" s="2">
        <f t="shared" si="6"/>
        <v>2</v>
      </c>
      <c r="AA89" s="2" t="s">
        <v>68</v>
      </c>
      <c r="AB89">
        <v>2</v>
      </c>
      <c r="AC89" s="2">
        <v>4</v>
      </c>
      <c r="AD89" s="2">
        <v>1</v>
      </c>
      <c r="AE89" s="2">
        <v>2</v>
      </c>
      <c r="AF89" s="2">
        <v>3</v>
      </c>
      <c r="AG89" s="2">
        <v>1</v>
      </c>
      <c r="AH89" s="2" t="s">
        <v>63</v>
      </c>
      <c r="AI89" s="2">
        <f t="shared" si="7"/>
        <v>1</v>
      </c>
      <c r="AJ89" s="2"/>
      <c r="AK89" s="2"/>
      <c r="AL89" s="2"/>
      <c r="AM89" s="2"/>
    </row>
    <row r="90" spans="1:39" ht="16" x14ac:dyDescent="0.2">
      <c r="A90" s="4">
        <v>45802.624178240738</v>
      </c>
      <c r="B90" s="2" t="s">
        <v>242</v>
      </c>
      <c r="C90" s="2"/>
      <c r="D90" s="2" t="s">
        <v>54</v>
      </c>
      <c r="E90" s="2">
        <v>21</v>
      </c>
      <c r="F90" s="2" t="s">
        <v>55</v>
      </c>
      <c r="G90" s="2">
        <v>1</v>
      </c>
      <c r="H90" s="2" t="s">
        <v>56</v>
      </c>
      <c r="I90" s="2">
        <v>1</v>
      </c>
      <c r="J90" s="2">
        <v>80128</v>
      </c>
      <c r="K90" s="2" t="s">
        <v>89</v>
      </c>
      <c r="L90" s="2" t="s">
        <v>72</v>
      </c>
      <c r="M90" s="2">
        <v>1</v>
      </c>
      <c r="N90" s="2" t="s">
        <v>118</v>
      </c>
      <c r="O90" s="2"/>
      <c r="P90" s="2" t="s">
        <v>114</v>
      </c>
      <c r="Q90" s="2">
        <f t="shared" si="4"/>
        <v>4</v>
      </c>
      <c r="R90" s="2">
        <v>9</v>
      </c>
      <c r="S90" s="2">
        <v>2</v>
      </c>
      <c r="T90" s="2"/>
      <c r="U90" s="2"/>
      <c r="V90" s="2" t="s">
        <v>60</v>
      </c>
      <c r="W90" s="13">
        <f t="shared" si="5"/>
        <v>4</v>
      </c>
      <c r="X90" s="2"/>
      <c r="Y90" s="2" t="s">
        <v>63</v>
      </c>
      <c r="Z90" s="2">
        <f t="shared" si="6"/>
        <v>1</v>
      </c>
      <c r="AA90" s="2" t="s">
        <v>68</v>
      </c>
      <c r="AB90">
        <v>2</v>
      </c>
      <c r="AC90" s="2">
        <v>2</v>
      </c>
      <c r="AD90" s="2">
        <v>3</v>
      </c>
      <c r="AE90" s="2">
        <v>1</v>
      </c>
      <c r="AF90" s="2">
        <v>4</v>
      </c>
      <c r="AG90" s="2">
        <v>4</v>
      </c>
      <c r="AH90" s="2" t="s">
        <v>68</v>
      </c>
      <c r="AI90" s="2">
        <f t="shared" si="7"/>
        <v>2</v>
      </c>
      <c r="AJ90" s="2"/>
      <c r="AK90" s="2"/>
      <c r="AL90" s="2"/>
      <c r="AM90" s="2"/>
    </row>
    <row r="91" spans="1:39" ht="16" x14ac:dyDescent="0.2">
      <c r="A91" s="4">
        <v>45803.050625000003</v>
      </c>
      <c r="B91" s="2" t="s">
        <v>243</v>
      </c>
      <c r="C91" s="2"/>
      <c r="D91" s="2" t="s">
        <v>54</v>
      </c>
      <c r="E91" s="2">
        <v>20</v>
      </c>
      <c r="F91" s="2" t="s">
        <v>55</v>
      </c>
      <c r="G91" s="2">
        <v>1</v>
      </c>
      <c r="H91" s="2" t="s">
        <v>56</v>
      </c>
      <c r="I91" s="2">
        <v>1</v>
      </c>
      <c r="J91" s="2">
        <v>2108</v>
      </c>
      <c r="K91" s="2" t="s">
        <v>93</v>
      </c>
      <c r="L91" s="2" t="s">
        <v>94</v>
      </c>
      <c r="M91" s="2">
        <v>4</v>
      </c>
      <c r="N91" s="2" t="s">
        <v>218</v>
      </c>
      <c r="O91" s="2"/>
      <c r="P91" s="2" t="str" cm="1">
        <f t="array" ref="P91">_xlfn.IFS(OR(N91="Accounting", N91="BIA", N91="Business Analytics", N91="Business Information &amp; Analytics", N91="Business undecided", N91="Finance", N91="Finance &amp; Accounting", N91="Hospitality Management", N91="Hospitality Mgmt", N91="Hospitality management", N91="Interational Business", N91="International Business", N91="Management", N91="Marketing", N91="Real Estate"), "Daniels College of Business", OR(N91="Biology", N91="Chemistry", N91="Integrated Sciences", N91="Molecular Biology", N91="Molecular biology", N91="Physiology", N91="Physiology in health and disease", N91="Math"), "Natural Sciences &amp; Mathematics", OR(N91="Computer Science", N91="Mechanical engineering"), "Engineering &amp; Computer Science", OR(N91="Anthropology", N91="Communication and Media", N91="Communciations", N91="Economics", N91="Economics and Sociology", N91="Emergent Digital Practices", N91="Environmental Science", N91="Environmental science", N91="Gender studies", N91="International Studies", N91="International studies", N91="Journalism and Finance", N91="Journalism and International Studies", N91="Political Science", N91="Psychology", N91="Psychology &amp; Economics", N91="Psychology, French", N91="Psych &amp; spanish", N91="Psych and Spanish", N91="Public policy"), "Arts, Humanities &amp; Social Sciences", OR(N91="Ecology and Biodiversity", N91="Ecology and biodiversity"), "Natural Resources &amp; Sustainability")</f>
        <v>Natural Sciences &amp; Mathematics</v>
      </c>
      <c r="Q91" s="2">
        <f t="shared" si="4"/>
        <v>4</v>
      </c>
      <c r="R91" s="2">
        <v>9</v>
      </c>
      <c r="S91" s="2">
        <v>4</v>
      </c>
      <c r="T91" s="2"/>
      <c r="U91" s="2"/>
      <c r="V91" s="2" t="s">
        <v>60</v>
      </c>
      <c r="W91" s="13">
        <f t="shared" si="5"/>
        <v>4</v>
      </c>
      <c r="X91" s="2"/>
      <c r="Y91" s="2" t="s">
        <v>62</v>
      </c>
      <c r="Z91" s="2">
        <f t="shared" si="6"/>
        <v>3</v>
      </c>
      <c r="AA91" s="2" t="s">
        <v>63</v>
      </c>
      <c r="AB91">
        <v>1</v>
      </c>
      <c r="AC91" s="2">
        <v>1</v>
      </c>
      <c r="AD91" s="2">
        <v>4</v>
      </c>
      <c r="AE91" s="2">
        <v>3</v>
      </c>
      <c r="AF91" s="2">
        <v>2</v>
      </c>
      <c r="AG91" s="2">
        <v>2</v>
      </c>
      <c r="AH91" s="2" t="s">
        <v>68</v>
      </c>
      <c r="AI91" s="2">
        <f t="shared" si="7"/>
        <v>2</v>
      </c>
      <c r="AJ91" s="2"/>
      <c r="AK91" s="2"/>
      <c r="AL91" s="2"/>
      <c r="AM91" s="2"/>
    </row>
    <row r="92" spans="1:39" ht="16" x14ac:dyDescent="0.2">
      <c r="A92" s="4">
        <v>45803.699131944442</v>
      </c>
      <c r="B92" s="2" t="s">
        <v>244</v>
      </c>
      <c r="C92" s="2"/>
      <c r="D92" s="2" t="s">
        <v>54</v>
      </c>
      <c r="E92" s="2">
        <v>20</v>
      </c>
      <c r="F92" s="2" t="s">
        <v>55</v>
      </c>
      <c r="G92" s="2">
        <v>1</v>
      </c>
      <c r="H92" s="2" t="s">
        <v>56</v>
      </c>
      <c r="I92" s="2">
        <v>1</v>
      </c>
      <c r="J92" s="2">
        <v>94402</v>
      </c>
      <c r="K92" s="2" t="s">
        <v>71</v>
      </c>
      <c r="L92" s="2" t="s">
        <v>245</v>
      </c>
      <c r="M92" s="2">
        <v>2</v>
      </c>
      <c r="N92" s="2" t="s">
        <v>133</v>
      </c>
      <c r="O92" s="2"/>
      <c r="P92" s="2" t="str" cm="1">
        <f t="array" ref="P92">_xlfn.IFS(OR(N92="Accounting", N92="BIA", N92="Business Analytics", N92="Business Information &amp; Analytics", N92="Business undecided", N92="Finance", N92="Finance &amp; Accounting", N92="Hospitality Management", N92="Hospitality Mgmt", N92="Hospitality management", N92="Interational Business", N92="International Business", N92="Management", N92="Marketing", N92="Real Estate"), "Daniels College of Business", OR(N92="Biology", N92="Chemistry", N92="Integrated Sciences", N92="Molecular Biology", N92="Molecular biology", N92="Physiology", N92="Physiology in health and disease", N92="Math"), "Natural Sciences &amp; Mathematics", OR(N92="Computer Science", N92="Mechanical engineering"), "Engineering &amp; Computer Science", OR(N92="Anthropology", N92="Communication and Media", N92="Communciations", N92="Economics", N92="Economics and Sociology", N92="Emergent Digital Practices", N92="Environmental Science", N92="Environmental science", N92="Gender studies", N92="International Studies", N92="International studies", N92="Journalism and Finance", N92="Journalism and International Studies", N92="Political Science", N92="Psychology", N92="Psychology &amp; Economics", N92="Psychology, French", N92="Psych &amp; spanish", N92="Psych and Spanish", N92="Public policy"), "Arts, Humanities &amp; Social Sciences", OR(N92="Ecology and Biodiversity", N92="Ecology and biodiversity"), "Natural Resources &amp; Sustainability")</f>
        <v>Natural Sciences &amp; Mathematics</v>
      </c>
      <c r="Q92" s="2">
        <f t="shared" si="4"/>
        <v>4</v>
      </c>
      <c r="S92" s="2">
        <v>5</v>
      </c>
      <c r="T92" s="5">
        <v>45721</v>
      </c>
      <c r="U92" s="2">
        <v>0</v>
      </c>
      <c r="V92" s="2" t="s">
        <v>67</v>
      </c>
      <c r="W92" s="13">
        <f t="shared" si="5"/>
        <v>3</v>
      </c>
      <c r="X92" s="2"/>
      <c r="Y92" s="2" t="s">
        <v>68</v>
      </c>
      <c r="Z92" s="2">
        <f t="shared" si="6"/>
        <v>2</v>
      </c>
      <c r="AA92" s="2" t="s">
        <v>68</v>
      </c>
      <c r="AB92">
        <v>2</v>
      </c>
      <c r="AC92" s="2">
        <v>2</v>
      </c>
      <c r="AD92" s="2">
        <v>3</v>
      </c>
      <c r="AE92" s="2">
        <v>4</v>
      </c>
      <c r="AF92" s="2">
        <v>1</v>
      </c>
      <c r="AG92" s="2">
        <v>1</v>
      </c>
      <c r="AH92" s="2" t="s">
        <v>63</v>
      </c>
      <c r="AI92" s="2">
        <f t="shared" si="7"/>
        <v>1</v>
      </c>
      <c r="AJ92" s="2"/>
      <c r="AK92" s="2"/>
      <c r="AL92" s="2"/>
      <c r="AM92" s="2"/>
    </row>
    <row r="93" spans="1:39" ht="16" x14ac:dyDescent="0.2">
      <c r="A93" s="4">
        <v>45803.699293981481</v>
      </c>
      <c r="B93" s="2" t="s">
        <v>246</v>
      </c>
      <c r="C93" s="2"/>
      <c r="D93" s="2" t="s">
        <v>54</v>
      </c>
      <c r="E93" s="2">
        <v>19</v>
      </c>
      <c r="F93" s="2" t="s">
        <v>55</v>
      </c>
      <c r="G93" s="2">
        <v>1</v>
      </c>
      <c r="H93" s="2" t="s">
        <v>183</v>
      </c>
      <c r="I93" s="2">
        <v>2</v>
      </c>
      <c r="J93" s="2">
        <v>70118</v>
      </c>
      <c r="K93" s="2" t="s">
        <v>71</v>
      </c>
      <c r="L93" s="2" t="s">
        <v>66</v>
      </c>
      <c r="M93" s="2">
        <v>2</v>
      </c>
      <c r="N93" s="2" t="s">
        <v>86</v>
      </c>
      <c r="O93" s="2"/>
      <c r="P93" s="2" t="str" cm="1">
        <f t="array" ref="P93">_xlfn.IFS(OR(N93="Accounting", N93="BIA", N93="Business Analytics", N93="Business Information &amp; Analytics", N93="Business undecided", N93="Finance", N93="Finance &amp; Accounting", N93="Hospitality Management", N93="Hospitality Mgmt", N93="Hospitality management", N93="Interational Business", N93="International Business", N93="Management", N93="Marketing", N93="Real Estate"), "Daniels College of Business", OR(N93="Biology", N93="Chemistry", N93="Integrated Sciences", N93="Molecular Biology", N93="Molecular biology", N93="Physiology", N93="Physiology in health and disease", N93="Math"), "Natural Sciences &amp; Mathematics", OR(N93="Computer Science", N93="Mechanical engineering"), "Engineering &amp; Computer Science", OR(N93="Anthropology", N93="Communication and Media", N93="Communciations", N93="Economics", N93="Economics and Sociology", N93="Emergent Digital Practices", N93="Environmental Science", N93="Environmental science", N93="Gender studies", N93="International Studies", N93="International studies", N93="Journalism and Finance", N93="Journalism and International Studies", N93="Political Science", N93="Psychology", N93="Psychology &amp; Economics", N93="Psychology, French", N93="Psych &amp; spanish", N93="Psych and Spanish", N93="Public policy"), "Arts, Humanities &amp; Social Sciences", OR(N93="Ecology and Biodiversity", N93="Ecology and biodiversity"), "Natural Resources &amp; Sustainability")</f>
        <v>Engineering &amp; Computer Science</v>
      </c>
      <c r="Q93" s="2">
        <f t="shared" si="4"/>
        <v>3</v>
      </c>
      <c r="R93" s="2">
        <v>8</v>
      </c>
      <c r="S93" s="2">
        <v>5</v>
      </c>
      <c r="T93" s="5">
        <v>45721</v>
      </c>
      <c r="U93" s="2">
        <v>0</v>
      </c>
      <c r="V93" s="2" t="s">
        <v>60</v>
      </c>
      <c r="W93" s="13">
        <f t="shared" si="5"/>
        <v>4</v>
      </c>
      <c r="X93" s="2" t="s">
        <v>126</v>
      </c>
      <c r="Y93" s="2" t="s">
        <v>62</v>
      </c>
      <c r="Z93" s="2">
        <f t="shared" si="6"/>
        <v>3</v>
      </c>
      <c r="AA93" s="2" t="s">
        <v>63</v>
      </c>
      <c r="AB93">
        <v>1</v>
      </c>
      <c r="AC93" s="2">
        <v>2</v>
      </c>
      <c r="AD93" s="2">
        <v>3</v>
      </c>
      <c r="AE93" s="2">
        <v>4</v>
      </c>
      <c r="AF93" s="2">
        <v>1</v>
      </c>
      <c r="AG93" s="2">
        <v>1</v>
      </c>
      <c r="AH93" s="2" t="s">
        <v>63</v>
      </c>
      <c r="AI93" s="2">
        <f t="shared" si="7"/>
        <v>1</v>
      </c>
      <c r="AJ93" s="2"/>
      <c r="AK93" s="2"/>
      <c r="AL93" s="2"/>
      <c r="AM93" s="2"/>
    </row>
    <row r="94" spans="1:39" ht="16" x14ac:dyDescent="0.2">
      <c r="A94" s="4">
        <v>45803.7028587963</v>
      </c>
      <c r="B94" s="2" t="s">
        <v>247</v>
      </c>
      <c r="C94" s="2"/>
      <c r="D94" s="2" t="s">
        <v>54</v>
      </c>
      <c r="E94" s="2">
        <v>20</v>
      </c>
      <c r="F94" s="2" t="s">
        <v>55</v>
      </c>
      <c r="G94" s="2">
        <v>1</v>
      </c>
      <c r="H94" s="2" t="s">
        <v>56</v>
      </c>
      <c r="I94" s="2">
        <v>1</v>
      </c>
      <c r="J94" s="2">
        <v>78746</v>
      </c>
      <c r="K94" s="2" t="s">
        <v>57</v>
      </c>
      <c r="L94" s="2" t="s">
        <v>66</v>
      </c>
      <c r="M94" s="2">
        <v>2</v>
      </c>
      <c r="N94" s="2" t="s">
        <v>223</v>
      </c>
      <c r="O94" s="2"/>
      <c r="P94" s="2" t="str" cm="1">
        <f t="array" ref="P94">_xlfn.IFS(OR(N94="Accounting", N94="BIA", N94="Business Analytics", N94="Business Information &amp; Analytics", N94="Business undecided", N94="Finance", N94="Finance &amp; Accounting", N94="Hospitality Management", N94="Hospitality Mgmt", N94="Hospitality management", N94="Interational Business", N94="International Business", N94="Management", N94="Marketing", N94="Real Estate"), "Daniels College of Business", OR(N94="Biology", N94="Chemistry", N94="Integrated Sciences", N94="Molecular Biology", N94="Molecular biology", N94="Physiology", N94="Physiology in health and disease", N94="Math"), "Natural Sciences &amp; Mathematics", OR(N94="Computer Science", N94="Mechanical engineering"), "Engineering &amp; Computer Science", OR(N94="Anthropology", N94="Communication and Media", N94="Communciations", N94="Economics", N94="Economics and Sociology", N94="Emergent Digital Practices", N94="Environmental Science", N94="Environmental science", N94="Gender studies", N94="International Studies", N94="International studies", N94="Journalism and Finance", N94="Journalism and International Studies", N94="Political Science", N94="Psychology", N94="Psychology &amp; Economics", N94="Psychology, French", N94="Psych &amp; spanish", N94="Psych and Spanish", N94="Public policy"), "Arts, Humanities &amp; Social Sciences", OR(N94="Ecology and Biodiversity", N94="Ecology and biodiversity"), "Natural Resources &amp; Sustainability")</f>
        <v>Arts, Humanities &amp; Social Sciences</v>
      </c>
      <c r="Q94" s="2">
        <f t="shared" si="4"/>
        <v>2</v>
      </c>
      <c r="R94" s="2">
        <v>10</v>
      </c>
      <c r="S94" s="2">
        <v>3</v>
      </c>
      <c r="T94" s="5">
        <v>45721</v>
      </c>
      <c r="U94" s="2">
        <v>0</v>
      </c>
      <c r="V94" s="2" t="s">
        <v>67</v>
      </c>
      <c r="W94" s="13">
        <f t="shared" si="5"/>
        <v>3</v>
      </c>
      <c r="X94" s="2"/>
      <c r="Y94" s="2" t="s">
        <v>63</v>
      </c>
      <c r="Z94" s="2">
        <f t="shared" si="6"/>
        <v>1</v>
      </c>
      <c r="AA94" s="2" t="s">
        <v>63</v>
      </c>
      <c r="AB94">
        <v>1</v>
      </c>
      <c r="AC94" s="2">
        <v>1</v>
      </c>
      <c r="AD94" s="2">
        <v>2</v>
      </c>
      <c r="AE94" s="2">
        <v>4</v>
      </c>
      <c r="AF94" s="2">
        <v>3</v>
      </c>
      <c r="AG94" s="2">
        <v>1</v>
      </c>
      <c r="AH94" s="2" t="s">
        <v>63</v>
      </c>
      <c r="AI94" s="2">
        <f t="shared" si="7"/>
        <v>1</v>
      </c>
      <c r="AJ94" s="2"/>
      <c r="AK94" s="2"/>
      <c r="AL94" s="2"/>
      <c r="AM94" s="2"/>
    </row>
    <row r="95" spans="1:3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 t="s">
        <v>248</v>
      </c>
      <c r="Q97" s="2"/>
      <c r="R97" s="2"/>
      <c r="S97" s="8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 t="s">
        <v>91</v>
      </c>
      <c r="Q98" s="21" t="s">
        <v>249</v>
      </c>
      <c r="R98" s="23">
        <f>COUNTIF(P1:P94, P98)</f>
        <v>28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 t="s">
        <v>250</v>
      </c>
      <c r="Q99" s="22" t="s">
        <v>249</v>
      </c>
      <c r="R99" s="23">
        <f>COUNTIF(P2:P95, P99)</f>
        <v>18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 t="s">
        <v>251</v>
      </c>
      <c r="Q100" s="22" t="s">
        <v>249</v>
      </c>
      <c r="R100" s="23">
        <f>COUNTIF(P3:P96, P100)</f>
        <v>15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 t="s">
        <v>114</v>
      </c>
      <c r="Q101" s="22" t="s">
        <v>249</v>
      </c>
      <c r="R101" s="23">
        <f>COUNTIF(P4:P97, P101)</f>
        <v>23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 t="s">
        <v>144</v>
      </c>
      <c r="Q102" s="22" t="s">
        <v>249</v>
      </c>
      <c r="R102" s="23">
        <f>COUNTIF(P3:P94, P59)</f>
        <v>2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">
        <v>252</v>
      </c>
      <c r="R103" s="23">
        <f>SUM(R98:R102)</f>
        <v>86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5.75" customHeight="1" x14ac:dyDescent="0.2">
      <c r="L1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9B4B-B43E-4C4F-AD0A-0B43E3D1DE22}">
  <dimension ref="A1:P115"/>
  <sheetViews>
    <sheetView tabSelected="1" topLeftCell="H1" zoomScale="60" workbookViewId="0">
      <selection activeCell="R14" sqref="R14"/>
    </sheetView>
  </sheetViews>
  <sheetFormatPr baseColWidth="10" defaultColWidth="11" defaultRowHeight="15.75" customHeight="1" x14ac:dyDescent="0.2"/>
  <cols>
    <col min="1" max="1" width="20.83203125" bestFit="1" customWidth="1"/>
    <col min="2" max="2" width="14.6640625" bestFit="1" customWidth="1"/>
    <col min="3" max="3" width="18.33203125" bestFit="1" customWidth="1"/>
    <col min="4" max="4" width="16.1640625" bestFit="1" customWidth="1"/>
    <col min="5" max="5" width="25.1640625" bestFit="1" customWidth="1"/>
    <col min="6" max="6" width="31.6640625" customWidth="1"/>
    <col min="7" max="8" width="31.5" customWidth="1"/>
    <col min="9" max="9" width="31.83203125" bestFit="1" customWidth="1"/>
    <col min="10" max="10" width="42" customWidth="1"/>
    <col min="11" max="11" width="46" customWidth="1"/>
    <col min="12" max="12" width="26.6640625" customWidth="1"/>
    <col min="13" max="13" width="22.33203125" customWidth="1"/>
    <col min="14" max="14" width="49.33203125" customWidth="1"/>
    <col min="15" max="15" width="25.5" customWidth="1"/>
    <col min="16" max="16" width="24.6640625" bestFit="1" customWidth="1"/>
    <col min="17" max="17" width="27.1640625" customWidth="1"/>
    <col min="18" max="18" width="27.6640625" customWidth="1"/>
    <col min="19" max="19" width="34" customWidth="1"/>
    <col min="20" max="20" width="17.6640625" customWidth="1"/>
    <col min="21" max="16370" width="10.83203125" bestFit="1" customWidth="1"/>
    <col min="16371" max="16384" width="10.83203125" customWidth="1"/>
  </cols>
  <sheetData>
    <row r="1" spans="1:16" ht="16" x14ac:dyDescent="0.2">
      <c r="A1" s="18" t="s">
        <v>1</v>
      </c>
      <c r="B1" s="25" t="s">
        <v>253</v>
      </c>
      <c r="C1" s="32" t="s">
        <v>254</v>
      </c>
      <c r="D1" s="26" t="s">
        <v>255</v>
      </c>
      <c r="E1" s="26" t="s">
        <v>256</v>
      </c>
      <c r="F1" s="24" t="s">
        <v>257</v>
      </c>
      <c r="G1" s="24" t="s">
        <v>11</v>
      </c>
      <c r="H1" s="45" t="s">
        <v>257</v>
      </c>
      <c r="I1" s="46" t="s">
        <v>258</v>
      </c>
      <c r="J1" s="1" t="s">
        <v>259</v>
      </c>
      <c r="K1" s="47"/>
      <c r="L1" s="1" t="s">
        <v>260</v>
      </c>
      <c r="M1" s="25"/>
      <c r="N1" s="48" t="s">
        <v>261</v>
      </c>
      <c r="O1" s="1" t="s">
        <v>262</v>
      </c>
      <c r="P1" s="49"/>
    </row>
    <row r="2" spans="1:16" ht="76" customHeight="1" x14ac:dyDescent="0.2">
      <c r="A2" t="s">
        <v>26</v>
      </c>
      <c r="B2" s="35" t="s">
        <v>29</v>
      </c>
      <c r="C2" s="36" t="s">
        <v>30</v>
      </c>
      <c r="D2" s="37" t="s">
        <v>32</v>
      </c>
      <c r="E2" s="37" t="s">
        <v>35</v>
      </c>
      <c r="F2" s="15" t="s">
        <v>263</v>
      </c>
      <c r="G2" s="12" t="s">
        <v>37</v>
      </c>
      <c r="H2" s="40" t="s">
        <v>263</v>
      </c>
      <c r="I2" s="39" t="s">
        <v>39</v>
      </c>
      <c r="J2" s="15" t="s">
        <v>42</v>
      </c>
      <c r="K2" s="39" t="s">
        <v>31</v>
      </c>
      <c r="L2" s="15" t="s">
        <v>44</v>
      </c>
      <c r="M2" s="35" t="s">
        <v>31</v>
      </c>
      <c r="N2" s="39" t="s">
        <v>45</v>
      </c>
      <c r="O2" s="15" t="s">
        <v>52</v>
      </c>
      <c r="P2" s="39" t="s">
        <v>31</v>
      </c>
    </row>
    <row r="3" spans="1:16" ht="30" customHeight="1" x14ac:dyDescent="0.2">
      <c r="A3" t="s">
        <v>53</v>
      </c>
      <c r="B3" s="27">
        <v>21</v>
      </c>
      <c r="C3" s="33">
        <v>1</v>
      </c>
      <c r="D3" s="28">
        <v>1</v>
      </c>
      <c r="E3" s="28">
        <v>2</v>
      </c>
      <c r="F3" t="s">
        <v>59</v>
      </c>
      <c r="G3" t="str" cm="1">
        <f t="array" ref="G3">_xlfn.IFS(OR(F3="Accounting", F3="BIA", F3="Business Analytics", F3="Business Information &amp; Analytics", F3="Business undecided", F3="Finance", F3="Finance &amp; Accounting", F3="Hospitality Management", F3="Hospitality Mgmt", F3="Hospitality management", F3="Interational Business", F3="International Business", F3="Management", F3="Marketing", F3="Real Estate"), "Daniels College of Business", OR(F3="Biology", F3="Chemistry", F3="Integrated Sciences", F3="Molecular Biology", F3="Molecular biology", F3="Physiology", F3="Physiology in health and disease", F3="Math"), "Natural Sciences &amp; Mathematics", OR(F3="Computer Science", F3="Mechanical engineering"), "Engineering &amp; Computer Science", OR(F3="Anthropology", F3="Communication and Media", F3="Communciations", F3="Economics", F3="Economics and Sociology", F3="Emergent Digital Practices", F3="Environmental Science", F3="Environmental science", F3="Gender studies", F3="International Studies", F3="International studies", F3="Journalism and Finance", F3="Journalism and International Studies", F3="Political Science", F3="Psychology", F3="Psychology &amp; Economics", F3="Psychology, French", F3="Psych &amp; spanish", F3="Psych and Spanish", F3="Public policy"), "Arts, Humanities &amp; Social Sciences", OR(F3="Ecology and Biodiversity", F3="Ecology and biodiversity"), "Natural Resources &amp; Sustainability")</f>
        <v>Daniels College of Business</v>
      </c>
      <c r="H3" s="41">
        <f>IF(G3="Daniels College of Business", 1,
 IF(G3="Arts, Humanities &amp; Social Sciences", 2,
 IF(G3="Engineering &amp; Computer Science", 3,
 IF(G3="Natural Sciences &amp; Mathematics", 4,
 IF(G3="Korbel's School of International Studies", 5, "")))))</f>
        <v>1</v>
      </c>
      <c r="I3" s="33">
        <v>1</v>
      </c>
      <c r="J3" t="s">
        <v>60</v>
      </c>
      <c r="K3" s="43">
        <f t="shared" ref="K3:K34" si="0">IF(J3="Not at all confident", 1,
 IF(J3="Slightly confident", 2,
 IF(J3="Very confident", 3,
 IF(J3="Extremely Confident", 4, ""))))</f>
        <v>4</v>
      </c>
      <c r="L3" t="s">
        <v>62</v>
      </c>
      <c r="M3" s="27">
        <f t="shared" ref="M3:M34" si="1">IF(L3="Not at all", 1,
 IF(L3="Slightly", 2,
 IF(L3="Very much", 3,
 IF(L3="Extremely", 4, ""))))</f>
        <v>3</v>
      </c>
      <c r="N3" s="33">
        <v>3</v>
      </c>
      <c r="O3" t="s">
        <v>63</v>
      </c>
      <c r="P3" s="33">
        <f t="shared" ref="P3:P34" si="2">IF(O3="Not at all", 1,
 IF(O3="Slightly", 2,
 IF(O3="Very much", 3,
 IF(O3="Extremely", 4, ""))))</f>
        <v>1</v>
      </c>
    </row>
    <row r="4" spans="1:16" ht="16" x14ac:dyDescent="0.2">
      <c r="A4" t="s">
        <v>64</v>
      </c>
      <c r="B4" s="27">
        <v>19</v>
      </c>
      <c r="C4" s="33">
        <v>1</v>
      </c>
      <c r="D4" s="28">
        <v>1</v>
      </c>
      <c r="E4" s="28">
        <v>1</v>
      </c>
      <c r="F4" t="s">
        <v>116</v>
      </c>
      <c r="G4" t="s">
        <v>251</v>
      </c>
      <c r="H4" s="41">
        <f t="shared" ref="H4:H67" si="3">IF(G4="Daniels College of Business", 1,
 IF(G4="Arts, Humanities &amp; Social Sciences", 2,
 IF(G4="Engineering &amp; Computer Science", 3,
 IF(G4="Natural Sciences &amp; Mathematics", 4,
 IF(G4="Korbel's School of International Studies", 5, "")))))</f>
        <v>3</v>
      </c>
      <c r="I4" s="33">
        <v>2</v>
      </c>
      <c r="J4" t="s">
        <v>67</v>
      </c>
      <c r="K4" s="43">
        <f t="shared" si="0"/>
        <v>3</v>
      </c>
      <c r="L4" t="s">
        <v>68</v>
      </c>
      <c r="M4" s="27">
        <f t="shared" si="1"/>
        <v>2</v>
      </c>
      <c r="N4" s="33">
        <v>2</v>
      </c>
      <c r="O4" t="s">
        <v>63</v>
      </c>
      <c r="P4" s="33">
        <f t="shared" si="2"/>
        <v>1</v>
      </c>
    </row>
    <row r="5" spans="1:16" ht="16" x14ac:dyDescent="0.2">
      <c r="A5" t="s">
        <v>69</v>
      </c>
      <c r="B5" s="27">
        <v>19</v>
      </c>
      <c r="C5" s="33">
        <v>2</v>
      </c>
      <c r="D5" s="28">
        <v>1</v>
      </c>
      <c r="E5" s="28">
        <v>1</v>
      </c>
      <c r="F5" t="s">
        <v>73</v>
      </c>
      <c r="G5" t="str" cm="1">
        <f t="array" ref="G5">_xlfn.IFS(OR(F5="Accounting", F5="BIA", F5="Business Analytics", F5="Business Information &amp; Analytics", F5="Business undecided", F5="Finance", F5="Finance &amp; Accounting", F5="Hospitality Management", F5="Hospitality Mgmt", F5="Hospitality management", F5="Interational Business", F5="International Business", F5="Management", F5="Marketing", F5="Real Estate"), "Daniels College of Business", OR(F5="Biology", F5="Chemistry", F5="Integrated Sciences", F5="Molecular Biology", F5="Molecular biology", F5="Physiology", F5="Physiology in health and disease", F5="Math"), "Natural Sciences &amp; Mathematics", OR(F5="Computer Science", F5="Mechanical engineering"), "Engineering &amp; Computer Science", OR(F5="Anthropology", F5="Communication and Media", F5="Communciations", F5="Economics", F5="Economics and Sociology", F5="Emergent Digital Practices", F5="Environmental Science", F5="Environmental science", F5="Gender studies", F5="International Studies", F5="International studies", F5="Journalism and Finance", F5="Journalism and International Studies", F5="Political Science", F5="Psychology", F5="Psychology &amp; Economics", F5="Psychology, French", F5="Psych &amp; spanish", F5="Psych and Spanish", F5="Public policy"), "Arts, Humanities &amp; Social Sciences", OR(F5="Ecology and Biodiversity", F5="Ecology and biodiversity"), "Natural Resources &amp; Sustainability")</f>
        <v>Daniels College of Business</v>
      </c>
      <c r="H5" s="41">
        <f t="shared" si="3"/>
        <v>1</v>
      </c>
      <c r="I5" s="33">
        <v>3</v>
      </c>
      <c r="J5" t="s">
        <v>67</v>
      </c>
      <c r="K5" s="43">
        <f t="shared" si="0"/>
        <v>3</v>
      </c>
      <c r="L5" t="s">
        <v>62</v>
      </c>
      <c r="M5" s="27">
        <f t="shared" si="1"/>
        <v>3</v>
      </c>
      <c r="N5" s="33">
        <v>3</v>
      </c>
      <c r="O5" t="s">
        <v>68</v>
      </c>
      <c r="P5" s="33">
        <f t="shared" si="2"/>
        <v>2</v>
      </c>
    </row>
    <row r="6" spans="1:16" ht="16" x14ac:dyDescent="0.2">
      <c r="A6" t="s">
        <v>75</v>
      </c>
      <c r="B6" s="27">
        <v>21</v>
      </c>
      <c r="C6" s="33">
        <v>2</v>
      </c>
      <c r="D6" s="28">
        <v>1</v>
      </c>
      <c r="E6" s="28">
        <v>3</v>
      </c>
      <c r="F6" t="s">
        <v>76</v>
      </c>
      <c r="G6" t="str" cm="1">
        <f t="array" ref="G6">_xlfn.IFS(OR(F6="Accounting", F6="BIA", F6="Business Analytics", F6="Business Information &amp; Analytics", F6="Business undecided", F6="Finance", F6="Finance &amp; Accounting", F6="Hospitality Management", F6="Hospitality Mgmt", F6="Hospitality management", F6="Interational Business", F6="International Business", F6="Management", F6="Marketing", F6="Real Estate"), "Daniels College of Business", OR(F6="Biology", F6="Chemistry", F6="Integrated Sciences", F6="Molecular Biology", F6="Molecular biology", F6="Physiology", F6="Physiology in health and disease", F6="Math"), "Natural Sciences &amp; Mathematics", OR(F6="Computer Science", F6="Mechanical engineering"), "Engineering &amp; Computer Science", OR(F6="Anthropology", F6="Communication and Media", F6="Communciations", F6="Economics", F6="Economics and Sociology", F6="Emergent Digital Practices", F6="Environmental Science", F6="Environmental science", F6="Gender studies", F6="International Studies", F6="International studies", F6="Journalism and Finance", F6="Journalism and International Studies", F6="Political Science", F6="Psychology", F6="Psychology &amp; Economics", F6="Psychology, French", F6="Psych &amp; spanish", F6="Psych and Spanish", F6="Public policy"), "Arts, Humanities &amp; Social Sciences", OR(F6="Ecology and Biodiversity", F6="Ecology and biodiversity"), "Natural Resources &amp; Sustainability")</f>
        <v>Daniels College of Business</v>
      </c>
      <c r="H6" s="41">
        <f t="shared" si="3"/>
        <v>1</v>
      </c>
      <c r="I6" s="33">
        <v>2</v>
      </c>
      <c r="J6" t="s">
        <v>77</v>
      </c>
      <c r="K6" s="43">
        <f t="shared" si="0"/>
        <v>2</v>
      </c>
      <c r="L6" t="s">
        <v>68</v>
      </c>
      <c r="M6" s="27">
        <f t="shared" si="1"/>
        <v>2</v>
      </c>
      <c r="N6" s="33">
        <v>2</v>
      </c>
      <c r="O6" t="s">
        <v>63</v>
      </c>
      <c r="P6" s="33">
        <f t="shared" si="2"/>
        <v>1</v>
      </c>
    </row>
    <row r="7" spans="1:16" ht="16" x14ac:dyDescent="0.2">
      <c r="A7" t="s">
        <v>79</v>
      </c>
      <c r="B7" s="27">
        <v>21</v>
      </c>
      <c r="C7" s="33">
        <v>2</v>
      </c>
      <c r="D7" s="28">
        <v>1</v>
      </c>
      <c r="E7" s="28">
        <v>2</v>
      </c>
      <c r="F7" t="s">
        <v>82</v>
      </c>
      <c r="G7" t="str" cm="1">
        <f t="array" ref="G7">_xlfn.IFS(OR(F7="Accounting", F7="BIA", F7="Business Analytics", F7="Business Information &amp; Analytics", F7="Business undecided", F7="Finance", F7="Finance &amp; Accounting", F7="Hospitality Management", F7="Hospitality Mgmt", F7="Hospitality management", F7="Interational Business", F7="International Business", F7="Management", F7="Marketing", F7="Real Estate"), "Daniels College of Business", OR(F7="Biology", F7="Chemistry", F7="Integrated Sciences", F7="Molecular Biology", F7="Molecular biology", F7="Physiology", F7="Physiology in health and disease", F7="Math"), "Natural Sciences &amp; Mathematics", OR(F7="Computer Science", F7="Mechanical engineering"), "Engineering &amp; Computer Science", OR(F7="Anthropology", F7="Communication and Media", F7="Communciations", F7="Economics", F7="Economics and Sociology", F7="Emergent Digital Practices", F7="Environmental Science", F7="Environmental science", F7="Gender studies", F7="International Studies", F7="International studies", F7="Journalism and Finance", F7="Journalism and International Studies", F7="Political Science", F7="Psychology", F7="Psychology &amp; Economics", F7="Psychology, French", F7="Psych &amp; spanish", F7="Psych and Spanish", F7="Public policy"), "Arts, Humanities &amp; Social Sciences", OR(F7="Ecology and Biodiversity", F7="Ecology and biodiversity"), "Natural Resources &amp; Sustainability")</f>
        <v>Natural Sciences &amp; Mathematics</v>
      </c>
      <c r="H7" s="41">
        <f t="shared" si="3"/>
        <v>4</v>
      </c>
      <c r="I7" s="33">
        <v>5</v>
      </c>
      <c r="J7" t="s">
        <v>67</v>
      </c>
      <c r="K7" s="43">
        <f t="shared" si="0"/>
        <v>3</v>
      </c>
      <c r="L7" t="s">
        <v>62</v>
      </c>
      <c r="M7" s="27">
        <f t="shared" si="1"/>
        <v>3</v>
      </c>
      <c r="N7" s="33">
        <v>2</v>
      </c>
      <c r="O7" t="s">
        <v>63</v>
      </c>
      <c r="P7" s="33">
        <f t="shared" si="2"/>
        <v>1</v>
      </c>
    </row>
    <row r="8" spans="1:16" ht="16" x14ac:dyDescent="0.2">
      <c r="A8" t="s">
        <v>85</v>
      </c>
      <c r="B8" s="27">
        <v>19</v>
      </c>
      <c r="C8" s="33">
        <v>2</v>
      </c>
      <c r="D8" s="28">
        <v>1</v>
      </c>
      <c r="E8" s="28">
        <v>1</v>
      </c>
      <c r="F8" t="s">
        <v>86</v>
      </c>
      <c r="G8" t="str" cm="1">
        <f t="array" ref="G8">_xlfn.IFS(OR(F8="Accounting", F8="BIA", F8="Business Analytics", F8="Business Information &amp; Analytics", F8="Business undecided", F8="Finance", F8="Finance &amp; Accounting", F8="Hospitality Management", F8="Hospitality Mgmt", F8="Hospitality management", F8="Interational Business", F8="International Business", F8="Management", F8="Marketing", F8="Real Estate"), "Daniels College of Business", OR(F8="Biology", F8="Chemistry", F8="Integrated Sciences", F8="Molecular Biology", F8="Molecular biology", F8="Physiology", F8="Physiology in health and disease", F8="Math"), "Natural Sciences &amp; Mathematics", OR(F8="Computer Science", F8="Mechanical engineering"), "Engineering &amp; Computer Science", OR(F8="Anthropology", F8="Communication and Media", F8="Communciations", F8="Economics", F8="Economics and Sociology", F8="Emergent Digital Practices", F8="Environmental Science", F8="Environmental science", F8="Gender studies", F8="International Studies", F8="International studies", F8="Journalism and Finance", F8="Journalism and International Studies", F8="Political Science", F8="Psychology", F8="Psychology &amp; Economics", F8="Psychology, French", F8="Psych &amp; spanish", F8="Psych and Spanish", F8="Public policy"), "Arts, Humanities &amp; Social Sciences", OR(F8="Ecology and Biodiversity", F8="Ecology and biodiversity"), "Natural Resources &amp; Sustainability")</f>
        <v>Engineering &amp; Computer Science</v>
      </c>
      <c r="H8" s="41">
        <f t="shared" si="3"/>
        <v>3</v>
      </c>
      <c r="I8" s="33">
        <v>5</v>
      </c>
      <c r="J8" t="s">
        <v>77</v>
      </c>
      <c r="K8" s="43">
        <f t="shared" si="0"/>
        <v>2</v>
      </c>
      <c r="L8" t="s">
        <v>68</v>
      </c>
      <c r="M8" s="27">
        <f t="shared" si="1"/>
        <v>2</v>
      </c>
      <c r="N8" s="33">
        <v>1</v>
      </c>
      <c r="O8" t="s">
        <v>63</v>
      </c>
      <c r="P8" s="33">
        <f t="shared" si="2"/>
        <v>1</v>
      </c>
    </row>
    <row r="9" spans="1:16" ht="16" x14ac:dyDescent="0.2">
      <c r="A9" t="s">
        <v>88</v>
      </c>
      <c r="B9" s="27">
        <v>21</v>
      </c>
      <c r="C9" s="33">
        <v>2</v>
      </c>
      <c r="D9" s="28">
        <v>1</v>
      </c>
      <c r="E9" s="28">
        <v>4</v>
      </c>
      <c r="F9" t="s">
        <v>264</v>
      </c>
      <c r="G9" t="s">
        <v>251</v>
      </c>
      <c r="H9" s="41">
        <f t="shared" si="3"/>
        <v>3</v>
      </c>
      <c r="I9" s="33">
        <v>4</v>
      </c>
      <c r="J9" t="s">
        <v>77</v>
      </c>
      <c r="K9" s="43">
        <f t="shared" si="0"/>
        <v>2</v>
      </c>
      <c r="L9" t="s">
        <v>68</v>
      </c>
      <c r="M9" s="27">
        <f t="shared" si="1"/>
        <v>2</v>
      </c>
      <c r="N9" s="33">
        <v>3</v>
      </c>
      <c r="O9" t="s">
        <v>68</v>
      </c>
      <c r="P9" s="33">
        <f t="shared" si="2"/>
        <v>2</v>
      </c>
    </row>
    <row r="10" spans="1:16" ht="16" x14ac:dyDescent="0.2">
      <c r="A10" t="s">
        <v>92</v>
      </c>
      <c r="B10" s="27">
        <v>18</v>
      </c>
      <c r="C10" s="33">
        <v>1</v>
      </c>
      <c r="D10" s="28">
        <v>1</v>
      </c>
      <c r="E10" s="28">
        <v>1</v>
      </c>
      <c r="F10" t="s">
        <v>90</v>
      </c>
      <c r="G10" t="s">
        <v>91</v>
      </c>
      <c r="H10" s="41">
        <f t="shared" si="3"/>
        <v>1</v>
      </c>
      <c r="I10" s="33">
        <v>4</v>
      </c>
      <c r="J10" t="s">
        <v>67</v>
      </c>
      <c r="K10" s="43">
        <f t="shared" si="0"/>
        <v>3</v>
      </c>
      <c r="L10" t="s">
        <v>62</v>
      </c>
      <c r="M10" s="27">
        <f t="shared" si="1"/>
        <v>3</v>
      </c>
      <c r="N10" s="33">
        <v>3</v>
      </c>
      <c r="O10" t="s">
        <v>68</v>
      </c>
      <c r="P10" s="33">
        <f t="shared" si="2"/>
        <v>2</v>
      </c>
    </row>
    <row r="11" spans="1:16" ht="16" x14ac:dyDescent="0.2">
      <c r="A11" t="s">
        <v>96</v>
      </c>
      <c r="B11" s="27">
        <v>21</v>
      </c>
      <c r="C11" s="33">
        <v>2</v>
      </c>
      <c r="D11" s="28">
        <v>1</v>
      </c>
      <c r="E11" s="28">
        <v>3</v>
      </c>
      <c r="F11" t="s">
        <v>97</v>
      </c>
      <c r="G11" t="str" cm="1">
        <f t="array" ref="G11">_xlfn.IFS(OR(F11="Accounting", F11="BIA", F11="Business Analytics", F11="Business Information &amp; Analytics", F11="Business undecided", F11="Finance", F11="Finance &amp; Accounting", F11="Hospitality Management", F11="Hospitality Mgmt", F11="Hospitality management", F11="Interational Business", F11="International Business", F11="Management", F11="Marketing", F11="Real Estate"), "Daniels College of Business", OR(F11="Biology", F11="Chemistry", F11="Integrated Sciences", F11="Molecular Biology", F11="Molecular biology", F11="Physiology", F11="Physiology in health and disease", F11="Math"), "Natural Sciences &amp; Mathematics", OR(F11="Computer Science", F11="Mechanical engineering"), "Engineering &amp; Computer Science", OR(F11="Anthropology", F11="Communication and Media", F11="Communciations", F11="Economics", F11="Economics and Sociology", F11="Emergent Digital Practices", F11="Environmental Science", F11="Environmental science", F11="Gender studies", F11="International Studies", F11="International studies", F11="Journalism and Finance", F11="Journalism and International Studies", F11="Political Science", F11="Psychology", F11="Psychology &amp; Economics", F11="Psychology, French", F11="Psych &amp; spanish", F11="Psych and Spanish", F11="Public policy"), "Arts, Humanities &amp; Social Sciences", OR(F11="Ecology and Biodiversity", F11="Ecology and biodiversity"), "Natural Resources &amp; Sustainability")</f>
        <v>Arts, Humanities &amp; Social Sciences</v>
      </c>
      <c r="H11" s="41">
        <f t="shared" si="3"/>
        <v>2</v>
      </c>
      <c r="I11" s="33">
        <v>5</v>
      </c>
      <c r="J11" t="s">
        <v>77</v>
      </c>
      <c r="K11" s="43">
        <f t="shared" si="0"/>
        <v>2</v>
      </c>
      <c r="L11" t="s">
        <v>68</v>
      </c>
      <c r="M11" s="27">
        <f t="shared" si="1"/>
        <v>2</v>
      </c>
      <c r="N11" s="33">
        <v>2</v>
      </c>
      <c r="O11" t="s">
        <v>63</v>
      </c>
      <c r="P11" s="33">
        <f t="shared" si="2"/>
        <v>1</v>
      </c>
    </row>
    <row r="12" spans="1:16" ht="16" x14ac:dyDescent="0.2">
      <c r="A12" t="s">
        <v>98</v>
      </c>
      <c r="B12" s="27">
        <v>18</v>
      </c>
      <c r="C12" s="33">
        <v>1</v>
      </c>
      <c r="D12" s="28">
        <v>1</v>
      </c>
      <c r="E12" s="28">
        <v>1</v>
      </c>
      <c r="F12" t="s">
        <v>100</v>
      </c>
      <c r="G12" t="str" cm="1">
        <f t="array" ref="G12">_xlfn.IFS(OR(F12="Accounting", F12="BIA", F12="Business Analytics", F12="Business Information &amp; Analytics", F12="Business undecided", F12="Finance", F12="Finance &amp; Accounting", F12="Hospitality Management", F12="Hospitality Mgmt", F12="Hospitality management", F12="Interational Business", F12="International Business", F12="Management", F12="Marketing", F12="Real Estate"), "Daniels College of Business", OR(F12="Biology", F12="Chemistry", F12="Integrated Sciences", F12="Molecular Biology", F12="Molecular biology", F12="Physiology", F12="Physiology in health and disease", F12="Math"), "Natural Sciences &amp; Mathematics", OR(F12="Computer Science", F12="Mechanical engineering"), "Engineering &amp; Computer Science", OR(F12="Anthropology", F12="Communication and Media", F12="Communciations", F12="Economics", F12="Economics and Sociology", F12="Emergent Digital Practices", F12="Environmental Science", F12="Environmental science", F12="Gender studies", F12="International Studies", F12="International studies", F12="Journalism and Finance", F12="Journalism and International Studies", F12="Political Science", F12="Psychology", F12="Psychology &amp; Economics", F12="Psychology, French", F12="Psych &amp; spanish", F12="Psych and Spanish", F12="Public policy"), "Arts, Humanities &amp; Social Sciences", OR(F12="Ecology and Biodiversity", F12="Ecology and biodiversity"), "Natural Resources &amp; Sustainability")</f>
        <v>Daniels College of Business</v>
      </c>
      <c r="H12" s="41">
        <f t="shared" si="3"/>
        <v>1</v>
      </c>
      <c r="I12" s="33">
        <v>5</v>
      </c>
      <c r="J12" t="s">
        <v>67</v>
      </c>
      <c r="K12" s="43">
        <f t="shared" si="0"/>
        <v>3</v>
      </c>
      <c r="L12" t="s">
        <v>62</v>
      </c>
      <c r="M12" s="27">
        <f t="shared" si="1"/>
        <v>3</v>
      </c>
      <c r="N12" s="33">
        <v>3</v>
      </c>
      <c r="O12" t="s">
        <v>101</v>
      </c>
      <c r="P12" s="33">
        <f t="shared" si="2"/>
        <v>3</v>
      </c>
    </row>
    <row r="13" spans="1:16" ht="16" x14ac:dyDescent="0.2">
      <c r="A13" t="s">
        <v>102</v>
      </c>
      <c r="B13" s="27">
        <v>20</v>
      </c>
      <c r="C13" s="33">
        <v>1</v>
      </c>
      <c r="D13" s="28">
        <v>1</v>
      </c>
      <c r="E13" s="28">
        <v>3</v>
      </c>
      <c r="F13" t="s">
        <v>103</v>
      </c>
      <c r="G13" t="str" cm="1">
        <f t="array" ref="G13">_xlfn.IFS(OR(F13="Accounting", F13="BIA", F13="Business Analytics", F13="Business Information &amp; Analytics", F13="Business undecided", F13="Finance", F13="Finance &amp; Accounting", F13="Hospitality Management", F13="Hospitality Mgmt", F13="Hospitality management", F13="Interational Business", F13="International Business", F13="Management", F13="Marketing", F13="Real Estate"), "Daniels College of Business", OR(F13="Biology", F13="Chemistry", F13="Integrated Sciences", F13="Molecular Biology", F13="Molecular biology", F13="Physiology", F13="Physiology in health and disease", F13="Math"), "Natural Sciences &amp; Mathematics", OR(F13="Computer Science", F13="Mechanical engineering"), "Engineering &amp; Computer Science", OR(F13="Anthropology", F13="Communication and Media", F13="Communciations", F13="Economics", F13="Economics and Sociology", F13="Emergent Digital Practices", F13="Environmental Science", F13="Environmental science", F13="Gender studies", F13="International Studies", F13="International studies", F13="Journalism and Finance", F13="Journalism and International Studies", F13="Political Science", F13="Psychology", F13="Psychology &amp; Economics", F13="Psychology, French", F13="Psych &amp; spanish", F13="Psych and Spanish", F13="Public policy"), "Arts, Humanities &amp; Social Sciences", OR(F13="Ecology and Biodiversity", F13="Ecology and biodiversity"), "Natural Resources &amp; Sustainability")</f>
        <v>Arts, Humanities &amp; Social Sciences</v>
      </c>
      <c r="H13" s="41">
        <f t="shared" si="3"/>
        <v>2</v>
      </c>
      <c r="I13" s="33">
        <v>4</v>
      </c>
      <c r="J13" t="s">
        <v>67</v>
      </c>
      <c r="K13" s="43">
        <f t="shared" si="0"/>
        <v>3</v>
      </c>
      <c r="L13" t="s">
        <v>62</v>
      </c>
      <c r="M13" s="27">
        <f t="shared" si="1"/>
        <v>3</v>
      </c>
      <c r="N13" s="33">
        <v>3</v>
      </c>
      <c r="O13" t="s">
        <v>68</v>
      </c>
      <c r="P13" s="33">
        <f t="shared" si="2"/>
        <v>2</v>
      </c>
    </row>
    <row r="14" spans="1:16" ht="16" x14ac:dyDescent="0.2">
      <c r="A14" t="s">
        <v>104</v>
      </c>
      <c r="B14" s="27">
        <v>20</v>
      </c>
      <c r="C14" s="33">
        <v>2</v>
      </c>
      <c r="D14" s="28">
        <v>4</v>
      </c>
      <c r="E14" s="28">
        <v>2</v>
      </c>
      <c r="F14" t="s">
        <v>106</v>
      </c>
      <c r="G14" t="s">
        <v>91</v>
      </c>
      <c r="H14" s="41">
        <f t="shared" si="3"/>
        <v>1</v>
      </c>
      <c r="I14" s="33">
        <v>4</v>
      </c>
      <c r="J14" t="s">
        <v>60</v>
      </c>
      <c r="K14" s="43">
        <f t="shared" si="0"/>
        <v>4</v>
      </c>
      <c r="L14" t="s">
        <v>62</v>
      </c>
      <c r="M14" s="27">
        <f t="shared" si="1"/>
        <v>3</v>
      </c>
      <c r="N14" s="33">
        <v>4</v>
      </c>
      <c r="O14" t="s">
        <v>101</v>
      </c>
      <c r="P14" s="33">
        <f t="shared" si="2"/>
        <v>3</v>
      </c>
    </row>
    <row r="15" spans="1:16" ht="16" x14ac:dyDescent="0.2">
      <c r="A15" t="s">
        <v>108</v>
      </c>
      <c r="B15" s="27">
        <v>20</v>
      </c>
      <c r="C15" s="33">
        <v>2</v>
      </c>
      <c r="D15" s="28">
        <v>1</v>
      </c>
      <c r="E15" s="28">
        <v>2</v>
      </c>
      <c r="F15" t="s">
        <v>109</v>
      </c>
      <c r="G15" t="str" cm="1">
        <f t="array" ref="G15">_xlfn.IFS(OR(F15="Accounting", F15="BIA", F15="Business Analytics", F15="Business Information &amp; Analytics", F15="Business undecided", F15="Finance", F15="Finance &amp; Accounting", F15="Hospitality Management", F15="Hospitality Mgmt", F15="Hospitality management", F15="Interational Business", F15="International Business", F15="Management", F15="Marketing", F15="Real Estate"), "Daniels College of Business", OR(F15="Biology", F15="Chemistry", F15="Integrated Sciences", F15="Molecular Biology", F15="Molecular biology", F15="Physiology", F15="Physiology in health and disease", F15="Math"), "Natural Sciences &amp; Mathematics", OR(F15="Computer Science", F15="Mechanical engineering"), "Engineering &amp; Computer Science", OR(F15="Anthropology", F15="Communication and Media", F15="Communciations", F15="Economics", F15="Economics and Sociology", F15="Emergent Digital Practices", F15="Environmental Science", F15="Environmental science", F15="Gender studies", F15="International Studies", F15="International studies", F15="Journalism and Finance", F15="Journalism and International Studies", F15="Political Science", F15="Psychology", F15="Psychology &amp; Economics", F15="Psychology, French", F15="Psych &amp; spanish", F15="Psych and Spanish", F15="Public policy"), "Arts, Humanities &amp; Social Sciences", OR(F15="Ecology and Biodiversity", F15="Ecology and biodiversity"), "Natural Resources &amp; Sustainability")</f>
        <v>Natural Sciences &amp; Mathematics</v>
      </c>
      <c r="H15" s="41">
        <f t="shared" si="3"/>
        <v>4</v>
      </c>
      <c r="I15" s="33">
        <v>3</v>
      </c>
      <c r="J15" t="s">
        <v>77</v>
      </c>
      <c r="K15" s="43">
        <f t="shared" si="0"/>
        <v>2</v>
      </c>
      <c r="L15" t="s">
        <v>68</v>
      </c>
      <c r="M15" s="27">
        <f t="shared" si="1"/>
        <v>2</v>
      </c>
      <c r="N15" s="33">
        <v>2</v>
      </c>
      <c r="O15" t="s">
        <v>63</v>
      </c>
      <c r="P15" s="33">
        <f t="shared" si="2"/>
        <v>1</v>
      </c>
    </row>
    <row r="16" spans="1:16" ht="16" x14ac:dyDescent="0.2">
      <c r="A16" t="s">
        <v>111</v>
      </c>
      <c r="B16" s="27">
        <v>21</v>
      </c>
      <c r="C16" s="33">
        <v>2</v>
      </c>
      <c r="D16" s="28">
        <v>3</v>
      </c>
      <c r="E16" s="28">
        <v>3</v>
      </c>
      <c r="F16" t="s">
        <v>113</v>
      </c>
      <c r="G16" t="s">
        <v>114</v>
      </c>
      <c r="H16" s="41">
        <f t="shared" si="3"/>
        <v>4</v>
      </c>
      <c r="I16" s="33">
        <v>5</v>
      </c>
      <c r="J16" t="s">
        <v>67</v>
      </c>
      <c r="K16" s="43">
        <f t="shared" si="0"/>
        <v>3</v>
      </c>
      <c r="L16" t="s">
        <v>62</v>
      </c>
      <c r="M16" s="27">
        <f t="shared" si="1"/>
        <v>3</v>
      </c>
      <c r="N16" s="33">
        <v>2</v>
      </c>
      <c r="O16" t="s">
        <v>68</v>
      </c>
      <c r="P16" s="33">
        <f t="shared" si="2"/>
        <v>2</v>
      </c>
    </row>
    <row r="17" spans="1:16" ht="16" x14ac:dyDescent="0.2">
      <c r="A17" t="s">
        <v>115</v>
      </c>
      <c r="B17" s="27">
        <v>21</v>
      </c>
      <c r="C17" s="33">
        <v>2</v>
      </c>
      <c r="D17" s="28">
        <v>1</v>
      </c>
      <c r="E17" s="28">
        <v>3</v>
      </c>
      <c r="F17" t="s">
        <v>116</v>
      </c>
      <c r="G17" t="str" cm="1">
        <f t="array" ref="G17">_xlfn.IFS(OR(F17="Accounting", F17="BIA", F17="Business Analytics", F17="Business Information &amp; Analytics", F17="Business undecided", F17="Finance", F17="Finance &amp; Accounting", F17="Hospitality Management", F17="Hospitality Mgmt", F17="Hospitality management", F17="Interational Business", F17="International Business", F17="Management", F17="Marketing", F17="Real Estate"), "Daniels College of Business", OR(F17="Biology", F17="Chemistry", F17="Integrated Sciences", F17="Molecular Biology", F17="Molecular biology", F17="Physiology", F17="Physiology in health and disease", F17="Math"), "Natural Sciences &amp; Mathematics", OR(F17="Computer Science", F17="Mechanical engineering"), "Engineering &amp; Computer Science", OR(F17="Anthropology", F17="Communication and Media", F17="Communciations", F17="Economics", F17="Economics and Sociology", F17="Emergent Digital Practices", F17="Environmental Science", F17="Environmental science", F17="Gender studies", F17="International Studies", F17="International studies", F17="Journalism and Finance", F17="Journalism and International Studies", F17="Political Science", F17="Psychology", F17="Psychology &amp; Economics", F17="Psychology, French", F17="Psych &amp; spanish", F17="Psych and Spanish", F17="Public policy"), "Arts, Humanities &amp; Social Sciences", OR(F17="Ecology and Biodiversity", F17="Ecology and biodiversity"), "Natural Resources &amp; Sustainability")</f>
        <v>Engineering &amp; Computer Science</v>
      </c>
      <c r="H17" s="41">
        <f t="shared" si="3"/>
        <v>3</v>
      </c>
      <c r="I17" s="33">
        <v>4</v>
      </c>
      <c r="J17" t="s">
        <v>77</v>
      </c>
      <c r="K17" s="43">
        <f t="shared" si="0"/>
        <v>2</v>
      </c>
      <c r="L17" t="s">
        <v>62</v>
      </c>
      <c r="M17" s="27">
        <f t="shared" si="1"/>
        <v>3</v>
      </c>
      <c r="N17" s="33">
        <v>2</v>
      </c>
      <c r="O17" t="s">
        <v>68</v>
      </c>
      <c r="P17" s="33">
        <f t="shared" si="2"/>
        <v>2</v>
      </c>
    </row>
    <row r="18" spans="1:16" ht="16" x14ac:dyDescent="0.2">
      <c r="A18" t="s">
        <v>117</v>
      </c>
      <c r="B18" s="27">
        <v>21</v>
      </c>
      <c r="C18" s="33">
        <v>1</v>
      </c>
      <c r="D18" s="28">
        <v>1</v>
      </c>
      <c r="E18" s="28">
        <v>3</v>
      </c>
      <c r="F18" t="s">
        <v>118</v>
      </c>
      <c r="G18" t="str" cm="1">
        <f t="array" ref="G18">_xlfn.IFS(OR(F18="Accounting", F18="BIA", F18="Business Analytics", F18="Business Information &amp; Analytics", F18="Business undecided", F18="Finance", F18="Finance &amp; Accounting", F18="Hospitality Management", F18="Hospitality Mgmt", F18="Hospitality management", F18="Interational Business", F18="International Business", F18="Management", F18="Marketing", F18="Real Estate"), "Daniels College of Business", OR(F18="Biology", F18="Chemistry", F18="Integrated Sciences", F18="Molecular Biology", F18="Molecular biology", F18="Physiology", F18="Physiology in health and disease", F18="Math"), "Natural Sciences &amp; Mathematics", OR(F18="Computer Science", F18="Mechanical engineering"), "Engineering &amp; Computer Science", OR(F18="Anthropology", F18="Communication and Media", F18="Communciations", F18="Economics", F18="Economics and Sociology", F18="Emergent Digital Practices", F18="Environmental Science", F18="Environmental science", F18="Gender studies", F18="International Studies", F18="International studies", F18="Journalism and Finance", F18="Journalism and International Studies", F18="Political Science", F18="Psychology", F18="Psychology &amp; Economics", F18="Psychology, French", F18="Psych &amp; spanish", F18="Psych and Spanish", F18="Public policy"), "Arts, Humanities &amp; Social Sciences", OR(F18="Ecology and Biodiversity", F18="Ecology and biodiversity"), "Natural Resources &amp; Sustainability")</f>
        <v>Natural Resources &amp; Sustainability</v>
      </c>
      <c r="H18" s="41">
        <v>4</v>
      </c>
      <c r="I18" s="33">
        <v>3</v>
      </c>
      <c r="J18" t="s">
        <v>119</v>
      </c>
      <c r="K18" s="43">
        <f t="shared" si="0"/>
        <v>1</v>
      </c>
      <c r="L18" t="s">
        <v>68</v>
      </c>
      <c r="M18" s="27">
        <f t="shared" si="1"/>
        <v>2</v>
      </c>
      <c r="N18" s="33">
        <v>3</v>
      </c>
      <c r="O18" t="s">
        <v>63</v>
      </c>
      <c r="P18" s="33">
        <f t="shared" si="2"/>
        <v>1</v>
      </c>
    </row>
    <row r="19" spans="1:16" ht="16" x14ac:dyDescent="0.2">
      <c r="A19" t="s">
        <v>120</v>
      </c>
      <c r="B19" s="27">
        <v>21</v>
      </c>
      <c r="C19" s="33">
        <v>2</v>
      </c>
      <c r="D19" s="28">
        <v>3</v>
      </c>
      <c r="E19" s="28">
        <v>3</v>
      </c>
      <c r="F19" t="s">
        <v>121</v>
      </c>
      <c r="G19" t="str" cm="1">
        <f t="array" ref="G19">_xlfn.IFS(OR(F19="Accounting", F19="BIA", F19="Business Analytics", F19="Business Information &amp; Analytics", F19="Business undecided", F19="Finance", F19="Finance &amp; Accounting", F19="Hospitality Management", F19="Hospitality Mgmt", F19="Hospitality management", F19="Interational Business", F19="International Business", F19="Management", F19="Marketing", F19="Real Estate"), "Daniels College of Business", OR(F19="Biology", F19="Chemistry", F19="Integrated Sciences", F19="Molecular Biology", F19="Molecular biology", F19="Physiology", F19="Physiology in health and disease", F19="Math"), "Natural Sciences &amp; Mathematics", OR(F19="Computer Science", F19="Mechanical engineering"), "Engineering &amp; Computer Science", OR(F19="Anthropology", F19="Communication and Media", F19="Communciations", F19="Economics", F19="Economics and Sociology", F19="Emergent Digital Practices", F19="Environmental Science", F19="Environmental science", F19="Gender studies", F19="International Studies", F19="International studies", F19="Journalism and Finance", F19="Journalism and International Studies", F19="Political Science", F19="Psychology", F19="Psychology &amp; Economics", F19="Psychology, French", F19="Psych &amp; spanish", F19="Psych and Spanish", F19="Public policy"), "Arts, Humanities &amp; Social Sciences", OR(F19="Ecology and Biodiversity", F19="Ecology and biodiversity"), "Natural Resources &amp; Sustainability")</f>
        <v>Arts, Humanities &amp; Social Sciences</v>
      </c>
      <c r="H19" s="41">
        <f t="shared" si="3"/>
        <v>2</v>
      </c>
      <c r="I19" s="33">
        <v>3</v>
      </c>
      <c r="J19" t="s">
        <v>119</v>
      </c>
      <c r="K19" s="43">
        <f t="shared" si="0"/>
        <v>1</v>
      </c>
      <c r="L19" t="s">
        <v>68</v>
      </c>
      <c r="M19" s="27">
        <f t="shared" si="1"/>
        <v>2</v>
      </c>
      <c r="N19" s="33">
        <v>2</v>
      </c>
      <c r="O19" t="s">
        <v>63</v>
      </c>
      <c r="P19" s="33">
        <f t="shared" si="2"/>
        <v>1</v>
      </c>
    </row>
    <row r="20" spans="1:16" ht="16" x14ac:dyDescent="0.2">
      <c r="A20" t="s">
        <v>122</v>
      </c>
      <c r="B20" s="27">
        <v>21</v>
      </c>
      <c r="C20" s="33">
        <v>2</v>
      </c>
      <c r="D20" s="28">
        <v>1</v>
      </c>
      <c r="E20" s="28">
        <v>3</v>
      </c>
      <c r="F20" t="s">
        <v>73</v>
      </c>
      <c r="G20" t="str" cm="1">
        <f t="array" ref="G20">_xlfn.IFS(OR(F20="Accounting", F20="BIA", F20="Business Analytics", F20="Business Information &amp; Analytics", F20="Business undecided", F20="Finance", F20="Finance &amp; Accounting", F20="Hospitality Management", F20="Hospitality Mgmt", F20="Hospitality management", F20="Interational Business", F20="International Business", F20="Management", F20="Marketing", F20="Real Estate"), "Daniels College of Business", OR(F20="Biology", F20="Chemistry", F20="Integrated Sciences", F20="Molecular Biology", F20="Molecular biology", F20="Physiology", F20="Physiology in health and disease", F20="Math"), "Natural Sciences &amp; Mathematics", OR(F20="Computer Science", F20="Mechanical engineering"), "Engineering &amp; Computer Science", OR(F20="Anthropology", F20="Communication and Media", F20="Communciations", F20="Economics", F20="Economics and Sociology", F20="Emergent Digital Practices", F20="Environmental Science", F20="Environmental science", F20="Gender studies", F20="International Studies", F20="International studies", F20="Journalism and Finance", F20="Journalism and International Studies", F20="Political Science", F20="Psychology", F20="Psychology &amp; Economics", F20="Psychology, French", F20="Psych &amp; spanish", F20="Psych and Spanish", F20="Public policy"), "Arts, Humanities &amp; Social Sciences", OR(F20="Ecology and Biodiversity", F20="Ecology and biodiversity"), "Natural Resources &amp; Sustainability")</f>
        <v>Daniels College of Business</v>
      </c>
      <c r="H20" s="41">
        <f t="shared" si="3"/>
        <v>1</v>
      </c>
      <c r="I20" s="33">
        <v>5</v>
      </c>
      <c r="J20" t="s">
        <v>67</v>
      </c>
      <c r="K20" s="43">
        <f t="shared" si="0"/>
        <v>3</v>
      </c>
      <c r="L20" t="s">
        <v>62</v>
      </c>
      <c r="M20" s="27">
        <f t="shared" si="1"/>
        <v>3</v>
      </c>
      <c r="N20" s="33">
        <v>2</v>
      </c>
      <c r="O20" t="s">
        <v>68</v>
      </c>
      <c r="P20" s="33">
        <f t="shared" si="2"/>
        <v>2</v>
      </c>
    </row>
    <row r="21" spans="1:16" ht="16" x14ac:dyDescent="0.2">
      <c r="A21" t="s">
        <v>124</v>
      </c>
      <c r="B21" s="27">
        <v>20</v>
      </c>
      <c r="C21" s="33">
        <v>1</v>
      </c>
      <c r="D21" s="28">
        <v>1</v>
      </c>
      <c r="E21" s="28">
        <v>2</v>
      </c>
      <c r="F21" t="s">
        <v>125</v>
      </c>
      <c r="G21" t="str" cm="1">
        <f t="array" ref="G21">_xlfn.IFS(OR(F21="Accounting", F21="BIA", F21="Business Analytics", F21="Business Information &amp; Analytics", F21="Business undecided", F21="Finance", F21="Finance &amp; Accounting", F21="Hospitality Management", F21="Hospitality Mgmt", F21="Hospitality management", F21="Interational Business", F21="International Business", F21="Management", F21="Marketing", F21="Real Estate"), "Daniels College of Business", OR(F21="Biology", F21="Chemistry", F21="Integrated Sciences", F21="Molecular Biology", F21="Molecular biology", F21="Physiology", F21="Physiology in health and disease", F21="Math"), "Natural Sciences &amp; Mathematics", OR(F21="Computer Science", F21="Mechanical engineering"), "Engineering &amp; Computer Science", OR(F21="Anthropology", F21="Communication and Media", F21="Communciations", F21="Economics", F21="Economics and Sociology", F21="Emergent Digital Practices", F21="Environmental Science", F21="Environmental science", F21="Gender studies", F21="International Studies", F21="International studies", F21="Journalism and Finance", F21="Journalism and International Studies", F21="Political Science", F21="Psychology", F21="Psychology &amp; Economics", F21="Psychology, French", F21="Psych &amp; spanish", F21="Psych and Spanish", F21="Public policy"), "Arts, Humanities &amp; Social Sciences", OR(F21="Ecology and Biodiversity", F21="Ecology and biodiversity"), "Natural Resources &amp; Sustainability")</f>
        <v>Daniels College of Business</v>
      </c>
      <c r="H21" s="41">
        <f t="shared" si="3"/>
        <v>1</v>
      </c>
      <c r="I21" s="33">
        <v>4</v>
      </c>
      <c r="J21" t="s">
        <v>77</v>
      </c>
      <c r="K21" s="43">
        <f t="shared" si="0"/>
        <v>2</v>
      </c>
      <c r="L21" t="s">
        <v>68</v>
      </c>
      <c r="M21" s="27">
        <f t="shared" si="1"/>
        <v>2</v>
      </c>
      <c r="N21" s="33">
        <v>3</v>
      </c>
      <c r="O21" t="s">
        <v>63</v>
      </c>
      <c r="P21" s="33">
        <f t="shared" si="2"/>
        <v>1</v>
      </c>
    </row>
    <row r="22" spans="1:16" ht="16" x14ac:dyDescent="0.2">
      <c r="A22" t="s">
        <v>127</v>
      </c>
      <c r="B22" s="27">
        <v>20</v>
      </c>
      <c r="C22" s="33">
        <v>2</v>
      </c>
      <c r="D22" s="28">
        <v>1</v>
      </c>
      <c r="E22" s="28">
        <v>2</v>
      </c>
      <c r="F22" t="s">
        <v>128</v>
      </c>
      <c r="G22" s="19" t="s">
        <v>129</v>
      </c>
      <c r="H22" s="41">
        <v>4</v>
      </c>
      <c r="I22" s="33">
        <v>4</v>
      </c>
      <c r="J22" t="s">
        <v>67</v>
      </c>
      <c r="K22" s="43">
        <f t="shared" si="0"/>
        <v>3</v>
      </c>
      <c r="L22" t="s">
        <v>107</v>
      </c>
      <c r="M22" s="27">
        <f t="shared" si="1"/>
        <v>4</v>
      </c>
      <c r="N22" s="33">
        <v>4</v>
      </c>
      <c r="O22" t="s">
        <v>68</v>
      </c>
      <c r="P22" s="33">
        <f t="shared" si="2"/>
        <v>2</v>
      </c>
    </row>
    <row r="23" spans="1:16" ht="16" x14ac:dyDescent="0.2">
      <c r="A23" t="s">
        <v>130</v>
      </c>
      <c r="B23" s="27">
        <v>20</v>
      </c>
      <c r="C23" s="33">
        <v>2</v>
      </c>
      <c r="D23" s="28">
        <v>1</v>
      </c>
      <c r="E23" s="28">
        <v>3</v>
      </c>
      <c r="F23" t="s">
        <v>97</v>
      </c>
      <c r="G23" t="str" cm="1">
        <f t="array" ref="G23">_xlfn.IFS(OR(F23="Accounting", F23="BIA", F23="Business Analytics", F23="Business Information &amp; Analytics", F23="Business undecided", F23="Finance", F23="Finance &amp; Accounting", F23="Hospitality Management", F23="Hospitality Mgmt", F23="Hospitality management", F23="Interational Business", F23="International Business", F23="Management", F23="Marketing", F23="Real Estate"), "Daniels College of Business", OR(F23="Biology", F23="Chemistry", F23="Integrated Sciences", F23="Molecular Biology", F23="Molecular biology", F23="Physiology", F23="Physiology in health and disease", F23="Math"), "Natural Sciences &amp; Mathematics", OR(F23="Computer Science", F23="Mechanical engineering"), "Engineering &amp; Computer Science", OR(F23="Anthropology", F23="Communication and Media", F23="Communciations", F23="Economics", F23="Economics and Sociology", F23="Emergent Digital Practices", F23="Environmental Science", F23="Environmental science", F23="Gender studies", F23="International Studies", F23="International studies", F23="Journalism and Finance", F23="Journalism and International Studies", F23="Political Science", F23="Psychology", F23="Psychology &amp; Economics", F23="Psychology, French", F23="Psych &amp; spanish", F23="Psych and Spanish", F23="Public policy"), "Arts, Humanities &amp; Social Sciences", OR(F23="Ecology and Biodiversity", F23="Ecology and biodiversity"), "Natural Resources &amp; Sustainability")</f>
        <v>Arts, Humanities &amp; Social Sciences</v>
      </c>
      <c r="H23" s="41">
        <f t="shared" si="3"/>
        <v>2</v>
      </c>
      <c r="I23" s="33">
        <v>3</v>
      </c>
      <c r="J23" t="s">
        <v>77</v>
      </c>
      <c r="K23" s="43">
        <f t="shared" si="0"/>
        <v>2</v>
      </c>
      <c r="L23" t="s">
        <v>62</v>
      </c>
      <c r="M23" s="27">
        <f t="shared" si="1"/>
        <v>3</v>
      </c>
      <c r="N23" s="33">
        <v>2</v>
      </c>
      <c r="O23" t="s">
        <v>63</v>
      </c>
      <c r="P23" s="33">
        <f t="shared" si="2"/>
        <v>1</v>
      </c>
    </row>
    <row r="24" spans="1:16" ht="16" x14ac:dyDescent="0.2">
      <c r="A24" t="s">
        <v>132</v>
      </c>
      <c r="B24" s="27">
        <v>21</v>
      </c>
      <c r="C24" s="33">
        <v>2</v>
      </c>
      <c r="D24" s="28">
        <v>1</v>
      </c>
      <c r="E24" s="28">
        <v>3</v>
      </c>
      <c r="F24" t="s">
        <v>133</v>
      </c>
      <c r="G24" t="str" cm="1">
        <f t="array" ref="G24">_xlfn.IFS(OR(F24="Accounting", F24="BIA", F24="Business Analytics", F24="Business Information &amp; Analytics", F24="Business undecided", F24="Finance", F24="Finance &amp; Accounting", F24="Hospitality Management", F24="Hospitality Mgmt", F24="Hospitality management", F24="Interational Business", F24="International Business", F24="Management", F24="Marketing", F24="Real Estate"), "Daniels College of Business", OR(F24="Biology", F24="Chemistry", F24="Integrated Sciences", F24="Molecular Biology", F24="Molecular biology", F24="Physiology", F24="Physiology in health and disease", F24="Math"), "Natural Sciences &amp; Mathematics", OR(F24="Computer Science", F24="Mechanical engineering"), "Engineering &amp; Computer Science", OR(F24="Anthropology", F24="Communication and Media", F24="Communciations", F24="Economics", F24="Economics and Sociology", F24="Emergent Digital Practices", F24="Environmental Science", F24="Environmental science", F24="Gender studies", F24="International Studies", F24="International studies", F24="Journalism and Finance", F24="Journalism and International Studies", F24="Political Science", F24="Psychology", F24="Psychology &amp; Economics", F24="Psychology, French", F24="Psych &amp; spanish", F24="Psych and Spanish", F24="Public policy"), "Arts, Humanities &amp; Social Sciences", OR(F24="Ecology and Biodiversity", F24="Ecology and biodiversity"), "Natural Resources &amp; Sustainability")</f>
        <v>Natural Sciences &amp; Mathematics</v>
      </c>
      <c r="H24" s="41">
        <f t="shared" si="3"/>
        <v>4</v>
      </c>
      <c r="I24" s="33">
        <v>3</v>
      </c>
      <c r="J24" t="s">
        <v>67</v>
      </c>
      <c r="K24" s="43">
        <f t="shared" si="0"/>
        <v>3</v>
      </c>
      <c r="L24" t="s">
        <v>62</v>
      </c>
      <c r="M24" s="27">
        <f t="shared" si="1"/>
        <v>3</v>
      </c>
      <c r="N24" s="33">
        <v>2</v>
      </c>
      <c r="O24" t="s">
        <v>68</v>
      </c>
      <c r="P24" s="33">
        <f t="shared" si="2"/>
        <v>2</v>
      </c>
    </row>
    <row r="25" spans="1:16" ht="16" x14ac:dyDescent="0.2">
      <c r="A25" t="s">
        <v>135</v>
      </c>
      <c r="B25" s="27">
        <v>18</v>
      </c>
      <c r="C25" s="33">
        <v>1</v>
      </c>
      <c r="D25" s="28">
        <v>1</v>
      </c>
      <c r="E25" s="28">
        <v>1</v>
      </c>
      <c r="F25" t="s">
        <v>59</v>
      </c>
      <c r="G25" t="str" cm="1">
        <f t="array" ref="G25">_xlfn.IFS(OR(F25="Accounting", F25="BIA", F25="Business Analytics", F25="Business Information &amp; Analytics", F25="Business undecided", F25="Finance", F25="Finance &amp; Accounting", F25="Hospitality Management", F25="Hospitality Mgmt", F25="Hospitality management", F25="Interational Business", F25="International Business", F25="Management", F25="Marketing", F25="Real Estate"), "Daniels College of Business", OR(F25="Biology", F25="Chemistry", F25="Integrated Sciences", F25="Molecular Biology", F25="Molecular biology", F25="Physiology", F25="Physiology in health and disease", F25="Math"), "Natural Sciences &amp; Mathematics", OR(F25="Computer Science", F25="Mechanical engineering"), "Engineering &amp; Computer Science", OR(F25="Anthropology", F25="Communication and Media", F25="Communciations", F25="Economics", F25="Economics and Sociology", F25="Emergent Digital Practices", F25="Environmental Science", F25="Environmental science", F25="Gender studies", F25="International Studies", F25="International studies", F25="Journalism and Finance", F25="Journalism and International Studies", F25="Political Science", F25="Psychology", F25="Psychology &amp; Economics", F25="Psychology, French", F25="Psych &amp; spanish", F25="Psych and Spanish", F25="Public policy"), "Arts, Humanities &amp; Social Sciences", OR(F25="Ecology and Biodiversity", F25="Ecology and biodiversity"), "Natural Resources &amp; Sustainability")</f>
        <v>Daniels College of Business</v>
      </c>
      <c r="H25" s="41">
        <f t="shared" si="3"/>
        <v>1</v>
      </c>
      <c r="I25" s="33">
        <v>2</v>
      </c>
      <c r="J25" t="s">
        <v>60</v>
      </c>
      <c r="K25" s="43">
        <f t="shared" si="0"/>
        <v>4</v>
      </c>
      <c r="L25" t="s">
        <v>68</v>
      </c>
      <c r="M25" s="27">
        <f t="shared" si="1"/>
        <v>2</v>
      </c>
      <c r="N25" s="33">
        <v>2</v>
      </c>
      <c r="O25" t="s">
        <v>63</v>
      </c>
      <c r="P25" s="33">
        <f t="shared" si="2"/>
        <v>1</v>
      </c>
    </row>
    <row r="26" spans="1:16" ht="16" x14ac:dyDescent="0.2">
      <c r="A26" t="s">
        <v>136</v>
      </c>
      <c r="B26" s="27">
        <v>21</v>
      </c>
      <c r="C26" s="33">
        <v>1</v>
      </c>
      <c r="D26" s="28">
        <v>1</v>
      </c>
      <c r="E26" s="28">
        <v>3</v>
      </c>
      <c r="F26" t="s">
        <v>97</v>
      </c>
      <c r="G26" t="str" cm="1">
        <f t="array" ref="G26">_xlfn.IFS(OR(F26="Accounting", F26="BIA", F26="Business Analytics", F26="Business Information &amp; Analytics", F26="Business undecided", F26="Finance", F26="Finance &amp; Accounting", F26="Hospitality Management", F26="Hospitality Mgmt", F26="Hospitality management", F26="Interational Business", F26="International Business", F26="Management", F26="Marketing", F26="Real Estate"), "Daniels College of Business", OR(F26="Biology", F26="Chemistry", F26="Integrated Sciences", F26="Molecular Biology", F26="Molecular biology", F26="Physiology", F26="Physiology in health and disease", F26="Math"), "Natural Sciences &amp; Mathematics", OR(F26="Computer Science", F26="Mechanical engineering"), "Engineering &amp; Computer Science", OR(F26="Anthropology", F26="Communication and Media", F26="Communciations", F26="Economics", F26="Economics and Sociology", F26="Emergent Digital Practices", F26="Environmental Science", F26="Environmental science", F26="Gender studies", F26="International Studies", F26="International studies", F26="Journalism and Finance", F26="Journalism and International Studies", F26="Political Science", F26="Psychology", F26="Psychology &amp; Economics", F26="Psychology, French", F26="Psych &amp; spanish", F26="Psych and Spanish", F26="Public policy"), "Arts, Humanities &amp; Social Sciences", OR(F26="Ecology and Biodiversity", F26="Ecology and biodiversity"), "Natural Resources &amp; Sustainability")</f>
        <v>Arts, Humanities &amp; Social Sciences</v>
      </c>
      <c r="H26" s="41">
        <f t="shared" si="3"/>
        <v>2</v>
      </c>
      <c r="I26" s="33">
        <v>5</v>
      </c>
      <c r="J26" t="s">
        <v>67</v>
      </c>
      <c r="K26" s="43">
        <f t="shared" si="0"/>
        <v>3</v>
      </c>
      <c r="L26" t="s">
        <v>68</v>
      </c>
      <c r="M26" s="27">
        <f t="shared" si="1"/>
        <v>2</v>
      </c>
      <c r="N26" s="33">
        <v>3</v>
      </c>
      <c r="O26" t="s">
        <v>63</v>
      </c>
      <c r="P26" s="33">
        <f t="shared" si="2"/>
        <v>1</v>
      </c>
    </row>
    <row r="27" spans="1:16" ht="16" x14ac:dyDescent="0.2">
      <c r="A27" t="s">
        <v>137</v>
      </c>
      <c r="B27" s="27">
        <v>20</v>
      </c>
      <c r="C27" s="33">
        <v>2</v>
      </c>
      <c r="D27" s="28">
        <v>4</v>
      </c>
      <c r="E27" s="28">
        <v>1</v>
      </c>
      <c r="F27" t="s">
        <v>138</v>
      </c>
      <c r="G27" t="str" cm="1">
        <f t="array" ref="G27">_xlfn.IFS(OR(F27="Accounting", F27="BIA", F27="Business Analytics", F27="Business Information &amp; Analytics", F27="Business undecided", F27="Finance", F27="Finance &amp; Accounting", F27="Hospitality Management", F27="Hospitality Mgmt", F27="Hospitality management", F27="Interational Business", F27="International Business", F27="Management", F27="Marketing", F27="Real Estate"), "Daniels College of Business", OR(F27="Biology", F27="Chemistry", F27="Integrated Sciences", F27="Molecular Biology", F27="Molecular biology", F27="Physiology", F27="Physiology in health and disease", F27="Math"), "Natural Sciences &amp; Mathematics", OR(F27="Computer Science", F27="Mechanical engineering"), "Engineering &amp; Computer Science", OR(F27="Anthropology", F27="Communication and Media", F27="Communciations", F27="Economics", F27="Economics and Sociology", F27="Emergent Digital Practices", F27="Environmental Science", F27="Environmental science", F27="Gender studies", F27="International Studies", F27="International studies", F27="Journalism and Finance", F27="Journalism and International Studies", F27="Political Science", F27="Psychology", F27="Psychology &amp; Economics", F27="Psychology, French", F27="Psych &amp; spanish", F27="Psych and Spanish", F27="Public policy"), "Arts, Humanities &amp; Social Sciences", OR(F27="Ecology and Biodiversity", F27="Ecology and biodiversity"), "Natural Resources &amp; Sustainability")</f>
        <v>Arts, Humanities &amp; Social Sciences</v>
      </c>
      <c r="H27" s="41">
        <f t="shared" si="3"/>
        <v>2</v>
      </c>
      <c r="I27" s="33">
        <v>5</v>
      </c>
      <c r="J27" t="s">
        <v>77</v>
      </c>
      <c r="K27" s="43">
        <f t="shared" si="0"/>
        <v>2</v>
      </c>
      <c r="L27" t="s">
        <v>68</v>
      </c>
      <c r="M27" s="27">
        <f t="shared" si="1"/>
        <v>2</v>
      </c>
      <c r="N27" s="33">
        <v>2</v>
      </c>
      <c r="O27" t="s">
        <v>68</v>
      </c>
      <c r="P27" s="33">
        <f t="shared" si="2"/>
        <v>2</v>
      </c>
    </row>
    <row r="28" spans="1:16" ht="16" x14ac:dyDescent="0.2">
      <c r="A28" t="s">
        <v>139</v>
      </c>
      <c r="B28" s="27">
        <v>18</v>
      </c>
      <c r="C28" s="33">
        <v>2</v>
      </c>
      <c r="D28" s="28">
        <v>1</v>
      </c>
      <c r="E28" s="28">
        <v>1</v>
      </c>
      <c r="F28" t="s">
        <v>140</v>
      </c>
      <c r="G28" t="str" cm="1">
        <f t="array" ref="G28">_xlfn.IFS(OR(F28="Accounting", F28="BIA", F28="Business Analytics", F28="Business Information &amp; Analytics", F28="Business undecided", F28="Finance", F28="Finance &amp; Accounting", F28="Hospitality Management", F28="Hospitality Mgmt", F28="Hospitality management", F28="Interational Business", F28="International Business", F28="Management", F28="Marketing", F28="Real Estate"), "Daniels College of Business", OR(F28="Biology", F28="Chemistry", F28="Integrated Sciences", F28="Molecular Biology", F28="Molecular biology", F28="Physiology", F28="Physiology in health and disease", F28="Math"), "Natural Sciences &amp; Mathematics", OR(F28="Computer Science", F28="Mechanical engineering"), "Engineering &amp; Computer Science", OR(F28="Anthropology", F28="Communication and Media", F28="Communciations", F28="Economics", F28="Economics and Sociology", F28="Emergent Digital Practices", F28="Environmental Science", F28="Environmental science", F28="Gender studies", F28="International Studies", F28="International studies", F28="Journalism and Finance", F28="Journalism and International Studies", F28="Political Science", F28="Psychology", F28="Psychology &amp; Economics", F28="Psychology, French", F28="Psych &amp; spanish", F28="Psych and Spanish", F28="Public policy"), "Arts, Humanities &amp; Social Sciences", OR(F28="Ecology and Biodiversity", F28="Ecology and biodiversity"), "Natural Resources &amp; Sustainability")</f>
        <v>Arts, Humanities &amp; Social Sciences</v>
      </c>
      <c r="H28" s="41">
        <f t="shared" si="3"/>
        <v>2</v>
      </c>
      <c r="I28" s="33">
        <v>3</v>
      </c>
      <c r="J28" t="s">
        <v>77</v>
      </c>
      <c r="K28" s="43">
        <f t="shared" si="0"/>
        <v>2</v>
      </c>
      <c r="L28" t="s">
        <v>68</v>
      </c>
      <c r="M28" s="27">
        <f t="shared" si="1"/>
        <v>2</v>
      </c>
      <c r="N28" s="33">
        <v>2</v>
      </c>
      <c r="O28" t="s">
        <v>68</v>
      </c>
      <c r="P28" s="33">
        <f t="shared" si="2"/>
        <v>2</v>
      </c>
    </row>
    <row r="29" spans="1:16" ht="16" x14ac:dyDescent="0.2">
      <c r="A29" t="s">
        <v>141</v>
      </c>
      <c r="B29" s="27">
        <v>21</v>
      </c>
      <c r="C29" s="33">
        <v>2</v>
      </c>
      <c r="D29" s="28">
        <v>1</v>
      </c>
      <c r="E29" s="28">
        <v>3</v>
      </c>
      <c r="F29" t="s">
        <v>265</v>
      </c>
      <c r="G29" t="s">
        <v>266</v>
      </c>
      <c r="H29" s="41">
        <v>2</v>
      </c>
      <c r="I29" s="33">
        <v>2</v>
      </c>
      <c r="J29" t="s">
        <v>77</v>
      </c>
      <c r="K29" s="43">
        <f t="shared" si="0"/>
        <v>2</v>
      </c>
      <c r="L29" t="s">
        <v>68</v>
      </c>
      <c r="M29" s="27">
        <f t="shared" si="1"/>
        <v>2</v>
      </c>
      <c r="N29" s="33">
        <v>2</v>
      </c>
      <c r="O29" t="s">
        <v>68</v>
      </c>
      <c r="P29" s="33">
        <f t="shared" si="2"/>
        <v>2</v>
      </c>
    </row>
    <row r="30" spans="1:16" ht="16" x14ac:dyDescent="0.2">
      <c r="A30" t="s">
        <v>142</v>
      </c>
      <c r="B30" s="27">
        <v>21</v>
      </c>
      <c r="C30" s="33">
        <v>2</v>
      </c>
      <c r="D30" s="28">
        <v>1</v>
      </c>
      <c r="E30" s="28">
        <v>3</v>
      </c>
      <c r="F30" t="s">
        <v>143</v>
      </c>
      <c r="G30" t="s">
        <v>144</v>
      </c>
      <c r="H30" s="41">
        <v>5</v>
      </c>
      <c r="I30" s="33">
        <v>4</v>
      </c>
      <c r="J30" t="s">
        <v>67</v>
      </c>
      <c r="K30" s="43">
        <f t="shared" si="0"/>
        <v>3</v>
      </c>
      <c r="L30" t="s">
        <v>68</v>
      </c>
      <c r="M30" s="27">
        <f t="shared" si="1"/>
        <v>2</v>
      </c>
      <c r="N30" s="33">
        <v>3</v>
      </c>
      <c r="O30" t="s">
        <v>68</v>
      </c>
      <c r="P30" s="33">
        <f t="shared" si="2"/>
        <v>2</v>
      </c>
    </row>
    <row r="31" spans="1:16" ht="16" x14ac:dyDescent="0.2">
      <c r="A31" t="s">
        <v>145</v>
      </c>
      <c r="B31" s="27">
        <v>19</v>
      </c>
      <c r="C31" s="33">
        <v>2</v>
      </c>
      <c r="D31" s="28">
        <v>1</v>
      </c>
      <c r="E31" s="28">
        <v>2</v>
      </c>
      <c r="F31" t="s">
        <v>86</v>
      </c>
      <c r="G31" t="str" cm="1">
        <f t="array" ref="G31">_xlfn.IFS(OR(F31="Accounting", F31="BIA", F31="Business Analytics", F31="Business Information &amp; Analytics", F31="Business undecided", F31="Finance", F31="Finance &amp; Accounting", F31="Hospitality Management", F31="Hospitality Mgmt", F31="Hospitality management", F31="Interational Business", F31="International Business", F31="Management", F31="Marketing", F31="Real Estate"), "Daniels College of Business", OR(F31="Biology", F31="Chemistry", F31="Integrated Sciences", F31="Molecular Biology", F31="Molecular biology", F31="Physiology", F31="Physiology in health and disease", F31="Math"), "Natural Sciences &amp; Mathematics", OR(F31="Computer Science", F31="Mechanical engineering"), "Engineering &amp; Computer Science", OR(F31="Anthropology", F31="Communication and Media", F31="Communciations", F31="Economics", F31="Economics and Sociology", F31="Emergent Digital Practices", F31="Environmental Science", F31="Environmental science", F31="Gender studies", F31="International Studies", F31="International studies", F31="Journalism and Finance", F31="Journalism and International Studies", F31="Political Science", F31="Psychology", F31="Psychology &amp; Economics", F31="Psychology, French", F31="Psych &amp; spanish", F31="Psych and Spanish", F31="Public policy"), "Arts, Humanities &amp; Social Sciences", OR(F31="Ecology and Biodiversity", F31="Ecology and biodiversity"), "Natural Resources &amp; Sustainability")</f>
        <v>Engineering &amp; Computer Science</v>
      </c>
      <c r="H31" s="41">
        <f t="shared" si="3"/>
        <v>3</v>
      </c>
      <c r="I31" s="33">
        <v>3</v>
      </c>
      <c r="J31" t="s">
        <v>77</v>
      </c>
      <c r="K31" s="43">
        <f t="shared" si="0"/>
        <v>2</v>
      </c>
      <c r="L31" t="s">
        <v>68</v>
      </c>
      <c r="M31" s="27">
        <f t="shared" si="1"/>
        <v>2</v>
      </c>
      <c r="N31" s="33">
        <v>2</v>
      </c>
      <c r="O31" t="s">
        <v>63</v>
      </c>
      <c r="P31" s="33">
        <f t="shared" si="2"/>
        <v>1</v>
      </c>
    </row>
    <row r="32" spans="1:16" ht="16" x14ac:dyDescent="0.2">
      <c r="A32" t="s">
        <v>147</v>
      </c>
      <c r="B32" s="27">
        <v>21</v>
      </c>
      <c r="C32" s="33">
        <v>1</v>
      </c>
      <c r="D32" s="28">
        <v>1</v>
      </c>
      <c r="E32" s="28">
        <v>4</v>
      </c>
      <c r="F32" t="s">
        <v>82</v>
      </c>
      <c r="G32" t="str" cm="1">
        <f t="array" ref="G32">_xlfn.IFS(OR(F32="Accounting", F32="BIA", F32="Business Analytics", F32="Business Information &amp; Analytics", F32="Business undecided", F32="Finance", F32="Finance &amp; Accounting", F32="Hospitality Management", F32="Hospitality Mgmt", F32="Hospitality management", F32="Interational Business", F32="International Business", F32="Management", F32="Marketing", F32="Real Estate"), "Daniels College of Business", OR(F32="Biology", F32="Chemistry", F32="Integrated Sciences", F32="Molecular Biology", F32="Molecular biology", F32="Physiology", F32="Physiology in health and disease", F32="Math"), "Natural Sciences &amp; Mathematics", OR(F32="Computer Science", F32="Mechanical engineering"), "Engineering &amp; Computer Science", OR(F32="Anthropology", F32="Communication and Media", F32="Communciations", F32="Economics", F32="Economics and Sociology", F32="Emergent Digital Practices", F32="Environmental Science", F32="Environmental science", F32="Gender studies", F32="International Studies", F32="International studies", F32="Journalism and Finance", F32="Journalism and International Studies", F32="Political Science", F32="Psychology", F32="Psychology &amp; Economics", F32="Psychology, French", F32="Psych &amp; spanish", F32="Psych and Spanish", F32="Public policy"), "Arts, Humanities &amp; Social Sciences", OR(F32="Ecology and Biodiversity", F32="Ecology and biodiversity"), "Natural Resources &amp; Sustainability")</f>
        <v>Natural Sciences &amp; Mathematics</v>
      </c>
      <c r="H32" s="41">
        <f t="shared" si="3"/>
        <v>4</v>
      </c>
      <c r="I32" s="33">
        <v>4</v>
      </c>
      <c r="J32" t="s">
        <v>60</v>
      </c>
      <c r="K32" s="43">
        <f t="shared" si="0"/>
        <v>4</v>
      </c>
      <c r="L32" t="s">
        <v>62</v>
      </c>
      <c r="M32" s="27">
        <f t="shared" si="1"/>
        <v>3</v>
      </c>
      <c r="N32" s="33">
        <v>3</v>
      </c>
      <c r="O32" t="s">
        <v>107</v>
      </c>
      <c r="P32" s="33">
        <f t="shared" si="2"/>
        <v>4</v>
      </c>
    </row>
    <row r="33" spans="1:16" ht="16" x14ac:dyDescent="0.2">
      <c r="A33" t="s">
        <v>148</v>
      </c>
      <c r="B33" s="27">
        <v>20</v>
      </c>
      <c r="C33" s="33">
        <v>2</v>
      </c>
      <c r="D33" s="28">
        <v>5</v>
      </c>
      <c r="E33" s="28">
        <v>3</v>
      </c>
      <c r="F33" t="s">
        <v>150</v>
      </c>
      <c r="G33" t="str" cm="1">
        <f t="array" ref="G33">_xlfn.IFS(OR(F33="Accounting", F33="BIA", F33="Business Analytics", F33="Business Information &amp; Analytics", F33="Business undecided", F33="Finance", F33="Finance &amp; Accounting", F33="Hospitality Management", F33="Hospitality Mgmt", F33="Hospitality management", F33="Interational Business", F33="International Business", F33="Management", F33="Marketing", F33="Real Estate"), "Daniels College of Business", OR(F33="Biology", F33="Chemistry", F33="Integrated Sciences", F33="Molecular Biology", F33="Molecular biology", F33="Physiology", F33="Physiology in health and disease", F33="Math"), "Natural Sciences &amp; Mathematics", OR(F33="Computer Science", F33="Mechanical engineering"), "Engineering &amp; Computer Science", OR(F33="Anthropology", F33="Communication and Media", F33="Communciations", F33="Economics", F33="Economics and Sociology", F33="Emergent Digital Practices", F33="Environmental Science", F33="Environmental science", F33="Gender studies", F33="International Studies", F33="International studies", F33="Journalism and Finance", F33="Journalism and International Studies", F33="Political Science", F33="Psychology", F33="Psychology &amp; Economics", F33="Psychology, French", F33="Psych &amp; spanish", F33="Psych and Spanish", F33="Public policy"), "Arts, Humanities &amp; Social Sciences", OR(F33="Ecology and Biodiversity", F33="Ecology and biodiversity"), "Natural Resources &amp; Sustainability")</f>
        <v>Daniels College of Business</v>
      </c>
      <c r="H33" s="41">
        <f t="shared" si="3"/>
        <v>1</v>
      </c>
      <c r="I33" s="33">
        <v>3</v>
      </c>
      <c r="J33" t="s">
        <v>67</v>
      </c>
      <c r="K33" s="43">
        <f t="shared" si="0"/>
        <v>3</v>
      </c>
      <c r="L33" t="s">
        <v>68</v>
      </c>
      <c r="M33" s="27">
        <f t="shared" si="1"/>
        <v>2</v>
      </c>
      <c r="N33" s="33">
        <v>4</v>
      </c>
      <c r="O33" t="s">
        <v>68</v>
      </c>
      <c r="P33" s="33">
        <f t="shared" si="2"/>
        <v>2</v>
      </c>
    </row>
    <row r="34" spans="1:16" ht="16" x14ac:dyDescent="0.2">
      <c r="A34" t="s">
        <v>151</v>
      </c>
      <c r="B34" s="27">
        <v>21</v>
      </c>
      <c r="C34" s="33">
        <v>2</v>
      </c>
      <c r="D34" s="28">
        <v>1</v>
      </c>
      <c r="E34" s="28">
        <v>3</v>
      </c>
      <c r="F34" t="s">
        <v>76</v>
      </c>
      <c r="G34" t="s">
        <v>144</v>
      </c>
      <c r="H34" s="41">
        <v>5</v>
      </c>
      <c r="I34" s="33">
        <v>3</v>
      </c>
      <c r="J34" t="s">
        <v>67</v>
      </c>
      <c r="K34" s="43">
        <f t="shared" si="0"/>
        <v>3</v>
      </c>
      <c r="L34" t="s">
        <v>62</v>
      </c>
      <c r="M34" s="27">
        <f t="shared" si="1"/>
        <v>3</v>
      </c>
      <c r="N34" s="33">
        <v>3</v>
      </c>
      <c r="O34" t="s">
        <v>101</v>
      </c>
      <c r="P34" s="33">
        <f t="shared" si="2"/>
        <v>3</v>
      </c>
    </row>
    <row r="35" spans="1:16" ht="16" x14ac:dyDescent="0.2">
      <c r="A35" t="s">
        <v>153</v>
      </c>
      <c r="B35" s="27">
        <v>20</v>
      </c>
      <c r="C35" s="33">
        <v>2</v>
      </c>
      <c r="D35" s="28">
        <v>1</v>
      </c>
      <c r="E35" s="28">
        <v>3</v>
      </c>
      <c r="F35" t="s">
        <v>196</v>
      </c>
      <c r="G35" t="s">
        <v>144</v>
      </c>
      <c r="H35" s="41">
        <v>5</v>
      </c>
      <c r="I35" s="33">
        <v>3</v>
      </c>
      <c r="J35" t="s">
        <v>77</v>
      </c>
      <c r="K35" s="43">
        <f t="shared" ref="K35:K66" si="4">IF(J35="Not at all confident", 1,
 IF(J35="Slightly confident", 2,
 IF(J35="Very confident", 3,
 IF(J35="Extremely Confident", 4, ""))))</f>
        <v>2</v>
      </c>
      <c r="L35" t="s">
        <v>68</v>
      </c>
      <c r="M35" s="27">
        <f t="shared" ref="M35:M66" si="5">IF(L35="Not at all", 1,
 IF(L35="Slightly", 2,
 IF(L35="Very much", 3,
 IF(L35="Extremely", 4, ""))))</f>
        <v>2</v>
      </c>
      <c r="N35" s="33">
        <v>1</v>
      </c>
      <c r="O35" t="s">
        <v>63</v>
      </c>
      <c r="P35" s="33">
        <f t="shared" ref="P35:P66" si="6">IF(O35="Not at all", 1,
 IF(O35="Slightly", 2,
 IF(O35="Very much", 3,
 IF(O35="Extremely", 4, ""))))</f>
        <v>1</v>
      </c>
    </row>
    <row r="36" spans="1:16" ht="16" x14ac:dyDescent="0.2">
      <c r="A36" t="s">
        <v>155</v>
      </c>
      <c r="B36" s="27">
        <v>20</v>
      </c>
      <c r="C36" s="33">
        <v>2</v>
      </c>
      <c r="D36" s="28">
        <v>1</v>
      </c>
      <c r="E36" s="28">
        <v>3</v>
      </c>
      <c r="F36" t="s">
        <v>133</v>
      </c>
      <c r="G36" t="str" cm="1">
        <f t="array" ref="G36">_xlfn.IFS(OR(F36="Accounting", F36="BIA", F36="Business Analytics", F36="Business Information &amp; Analytics", F36="Business undecided", F36="Finance", F36="Finance &amp; Accounting", F36="Hospitality Management", F36="Hospitality Mgmt", F36="Hospitality management", F36="Interational Business", F36="International Business", F36="Management", F36="Marketing", F36="Real Estate"), "Daniels College of Business", OR(F36="Biology", F36="Chemistry", F36="Integrated Sciences", F36="Molecular Biology", F36="Molecular biology", F36="Physiology", F36="Physiology in health and disease", F36="Math"), "Natural Sciences &amp; Mathematics", OR(F36="Computer Science", F36="Mechanical engineering"), "Engineering &amp; Computer Science", OR(F36="Anthropology", F36="Communication and Media", F36="Communciations", F36="Economics", F36="Economics and Sociology", F36="Emergent Digital Practices", F36="Environmental Science", F36="Environmental science", F36="Gender studies", F36="International Studies", F36="International studies", F36="Journalism and Finance", F36="Journalism and International Studies", F36="Political Science", F36="Psychology", F36="Psychology &amp; Economics", F36="Psychology, French", F36="Psych &amp; spanish", F36="Psych and Spanish", F36="Public policy"), "Arts, Humanities &amp; Social Sciences", OR(F36="Ecology and Biodiversity", F36="Ecology and biodiversity"), "Natural Resources &amp; Sustainability")</f>
        <v>Natural Sciences &amp; Mathematics</v>
      </c>
      <c r="H36" s="41">
        <f t="shared" si="3"/>
        <v>4</v>
      </c>
      <c r="I36" s="33">
        <v>3</v>
      </c>
      <c r="J36" t="s">
        <v>77</v>
      </c>
      <c r="K36" s="43">
        <f t="shared" si="4"/>
        <v>2</v>
      </c>
      <c r="L36" t="s">
        <v>63</v>
      </c>
      <c r="M36" s="27">
        <f t="shared" si="5"/>
        <v>1</v>
      </c>
      <c r="N36" s="33">
        <v>1</v>
      </c>
      <c r="O36" t="s">
        <v>68</v>
      </c>
      <c r="P36" s="33">
        <f t="shared" si="6"/>
        <v>2</v>
      </c>
    </row>
    <row r="37" spans="1:16" ht="16" x14ac:dyDescent="0.2">
      <c r="A37" t="s">
        <v>156</v>
      </c>
      <c r="B37" s="27">
        <v>20</v>
      </c>
      <c r="C37" s="33">
        <v>2</v>
      </c>
      <c r="D37" s="28">
        <v>1</v>
      </c>
      <c r="E37" s="28">
        <v>1</v>
      </c>
      <c r="F37" t="s">
        <v>90</v>
      </c>
      <c r="G37" t="s">
        <v>91</v>
      </c>
      <c r="H37" s="41">
        <f t="shared" si="3"/>
        <v>1</v>
      </c>
      <c r="I37" s="33">
        <v>2</v>
      </c>
      <c r="J37" t="s">
        <v>67</v>
      </c>
      <c r="K37" s="43">
        <f t="shared" si="4"/>
        <v>3</v>
      </c>
      <c r="L37" t="s">
        <v>62</v>
      </c>
      <c r="M37" s="27">
        <f t="shared" si="5"/>
        <v>3</v>
      </c>
      <c r="N37" s="33">
        <v>2</v>
      </c>
      <c r="O37" t="s">
        <v>68</v>
      </c>
      <c r="P37" s="33">
        <f t="shared" si="6"/>
        <v>2</v>
      </c>
    </row>
    <row r="38" spans="1:16" ht="16" x14ac:dyDescent="0.2">
      <c r="A38" t="s">
        <v>157</v>
      </c>
      <c r="B38" s="27">
        <v>22</v>
      </c>
      <c r="C38" s="33">
        <v>2</v>
      </c>
      <c r="D38" s="28">
        <v>1</v>
      </c>
      <c r="E38" s="28">
        <v>4</v>
      </c>
      <c r="F38" t="s">
        <v>123</v>
      </c>
      <c r="G38" t="str" cm="1">
        <f t="array" ref="G38">_xlfn.IFS(OR(F38="Accounting", F38="BIA", F38="Business Analytics", F38="Business Information &amp; Analytics", F38="Business undecided", F38="Finance", F38="Finance &amp; Accounting", F38="Hospitality Management", F38="Hospitality Mgmt", F38="Hospitality management", F38="Interational Business", F38="International Business", F38="Management", F38="Marketing", F38="Real Estate"), "Daniels College of Business", OR(F38="Biology", F38="Chemistry", F38="Integrated Sciences", F38="Molecular Biology", F38="Molecular biology", F38="Physiology", F38="Physiology in health and disease", F38="Math"), "Natural Sciences &amp; Mathematics", OR(F38="Computer Science", F38="Mechanical engineering"), "Engineering &amp; Computer Science", OR(F38="Anthropology", F38="Communication and Media", F38="Communciations", F38="Economics", F38="Economics and Sociology", F38="Emergent Digital Practices", F38="Environmental Science", F38="Environmental science", F38="Gender studies", F38="International Studies", F38="International studies", F38="Journalism and Finance", F38="Journalism and International Studies", F38="Political Science", F38="Psychology", F38="Psychology &amp; Economics", F38="Psychology, French", F38="Psych &amp; spanish", F38="Psych and Spanish", F38="Public policy"), "Arts, Humanities &amp; Social Sciences", OR(F38="Ecology and Biodiversity", F38="Ecology and biodiversity"), "Natural Resources &amp; Sustainability")</f>
        <v>Daniels College of Business</v>
      </c>
      <c r="H38" s="41">
        <f t="shared" si="3"/>
        <v>1</v>
      </c>
      <c r="I38" s="33">
        <v>5</v>
      </c>
      <c r="J38" t="s">
        <v>67</v>
      </c>
      <c r="K38" s="43">
        <f t="shared" si="4"/>
        <v>3</v>
      </c>
      <c r="L38" t="s">
        <v>68</v>
      </c>
      <c r="M38" s="27">
        <f t="shared" si="5"/>
        <v>2</v>
      </c>
      <c r="N38" s="33">
        <v>4</v>
      </c>
      <c r="O38" t="s">
        <v>68</v>
      </c>
      <c r="P38" s="33">
        <f t="shared" si="6"/>
        <v>2</v>
      </c>
    </row>
    <row r="39" spans="1:16" ht="16" x14ac:dyDescent="0.2">
      <c r="A39" t="s">
        <v>159</v>
      </c>
      <c r="B39" s="27">
        <v>21</v>
      </c>
      <c r="C39" s="33">
        <v>2</v>
      </c>
      <c r="D39" s="28">
        <v>1</v>
      </c>
      <c r="E39" s="28">
        <v>3</v>
      </c>
      <c r="F39" t="s">
        <v>267</v>
      </c>
      <c r="G39" s="10" t="s">
        <v>144</v>
      </c>
      <c r="H39" s="41">
        <v>5</v>
      </c>
      <c r="I39" s="33">
        <v>3</v>
      </c>
      <c r="J39" t="s">
        <v>77</v>
      </c>
      <c r="K39" s="43">
        <f t="shared" si="4"/>
        <v>2</v>
      </c>
      <c r="L39" t="s">
        <v>68</v>
      </c>
      <c r="M39" s="27">
        <f t="shared" si="5"/>
        <v>2</v>
      </c>
      <c r="N39" s="33">
        <v>3</v>
      </c>
      <c r="O39" t="s">
        <v>101</v>
      </c>
      <c r="P39" s="33">
        <f t="shared" si="6"/>
        <v>3</v>
      </c>
    </row>
    <row r="40" spans="1:16" ht="16" x14ac:dyDescent="0.2">
      <c r="A40" t="s">
        <v>162</v>
      </c>
      <c r="B40" s="27">
        <v>20</v>
      </c>
      <c r="C40" s="33">
        <v>1</v>
      </c>
      <c r="D40" s="28">
        <v>1</v>
      </c>
      <c r="E40" s="28">
        <v>2</v>
      </c>
      <c r="F40" t="s">
        <v>164</v>
      </c>
      <c r="G40" t="str" cm="1">
        <f t="array" ref="G40">_xlfn.IFS(OR(F40="Accounting", F40="BIA", F40="Business Analytics", F40="Business Information &amp; Analytics", F40="Business undecided", F40="Finance", F40="Finance &amp; Accounting", F40="Hospitality Management", F40="Hospitality Mgmt", F40="Hospitality management", F40="Interational Business", F40="International Business", F40="Management", F40="Marketing", F40="Real Estate"), "Daniels College of Business", OR(F40="Biology", F40="Chemistry", F40="Integrated Sciences", F40="Molecular Biology", F40="Molecular biology", F40="Physiology", F40="Physiology in health and disease", F40="Math"), "Natural Sciences &amp; Mathematics", OR(F40="Computer Science", F40="Mechanical engineering"), "Engineering &amp; Computer Science", OR(F40="Anthropology", F40="Communication and Media", F40="Communciations", F40="Economics", F40="Economics and Sociology", F40="Emergent Digital Practices", F40="Environmental Science", F40="Environmental science", F40="Gender studies", F40="International Studies", F40="International studies", F40="Journalism and Finance", F40="Journalism and International Studies", F40="Political Science", F40="Psychology", F40="Psychology &amp; Economics", F40="Psychology, French", F40="Psych &amp; spanish", F40="Psych and Spanish", F40="Public policy"), "Arts, Humanities &amp; Social Sciences", OR(F40="Ecology and Biodiversity", F40="Ecology and biodiversity"), "Natural Resources &amp; Sustainability")</f>
        <v>Arts, Humanities &amp; Social Sciences</v>
      </c>
      <c r="H40" s="41">
        <f t="shared" si="3"/>
        <v>2</v>
      </c>
      <c r="I40" s="33">
        <v>1</v>
      </c>
      <c r="J40" t="s">
        <v>77</v>
      </c>
      <c r="K40" s="43">
        <f t="shared" si="4"/>
        <v>2</v>
      </c>
      <c r="L40" t="s">
        <v>63</v>
      </c>
      <c r="M40" s="27">
        <f t="shared" si="5"/>
        <v>1</v>
      </c>
      <c r="N40" s="33">
        <v>2</v>
      </c>
      <c r="O40" t="s">
        <v>63</v>
      </c>
      <c r="P40" s="33">
        <f t="shared" si="6"/>
        <v>1</v>
      </c>
    </row>
    <row r="41" spans="1:16" ht="16" x14ac:dyDescent="0.2">
      <c r="A41" t="s">
        <v>165</v>
      </c>
      <c r="B41" s="27">
        <v>22</v>
      </c>
      <c r="C41" s="33">
        <v>1</v>
      </c>
      <c r="D41" s="28">
        <v>1</v>
      </c>
      <c r="E41" s="28">
        <v>4</v>
      </c>
      <c r="F41" t="s">
        <v>166</v>
      </c>
      <c r="G41" t="str" cm="1">
        <f t="array" ref="G41">_xlfn.IFS(OR(F41="Accounting", F41="BIA", F41="Business Analytics", F41="Business Information &amp; Analytics", F41="Business undecided", F41="Finance", F41="Finance &amp; Accounting", F41="Hospitality Management", F41="Hospitality Mgmt", F41="Hospitality management", F41="Interational Business", F41="International Business", F41="Management", F41="Marketing", F41="Real Estate"), "Daniels College of Business", OR(F41="Biology", F41="Chemistry", F41="Integrated Sciences", F41="Molecular Biology", F41="Molecular biology", F41="Physiology", F41="Physiology in health and disease", F41="Math"), "Natural Sciences &amp; Mathematics", OR(F41="Computer Science", F41="Mechanical engineering"), "Engineering &amp; Computer Science", OR(F41="Anthropology", F41="Communication and Media", F41="Communciations", F41="Economics", F41="Economics and Sociology", F41="Emergent Digital Practices", F41="Environmental Science", F41="Environmental science", F41="Gender studies", F41="International Studies", F41="International studies", F41="Journalism and Finance", F41="Journalism and International Studies", F41="Political Science", F41="Psychology", F41="Psychology &amp; Economics", F41="Psychology, French", F41="Psych &amp; spanish", F41="Psych and Spanish", F41="Public policy"), "Arts, Humanities &amp; Social Sciences", OR(F41="Ecology and Biodiversity", F41="Ecology and biodiversity"), "Natural Resources &amp; Sustainability")</f>
        <v>Arts, Humanities &amp; Social Sciences</v>
      </c>
      <c r="H41" s="41">
        <f t="shared" si="3"/>
        <v>2</v>
      </c>
      <c r="I41" s="33">
        <v>3</v>
      </c>
      <c r="J41" t="s">
        <v>67</v>
      </c>
      <c r="K41" s="43">
        <f t="shared" si="4"/>
        <v>3</v>
      </c>
      <c r="L41" t="s">
        <v>68</v>
      </c>
      <c r="M41" s="27">
        <f t="shared" si="5"/>
        <v>2</v>
      </c>
      <c r="N41" s="33">
        <v>3</v>
      </c>
      <c r="O41" t="s">
        <v>63</v>
      </c>
      <c r="P41" s="33">
        <f t="shared" si="6"/>
        <v>1</v>
      </c>
    </row>
    <row r="42" spans="1:16" ht="16" x14ac:dyDescent="0.2">
      <c r="A42" t="s">
        <v>167</v>
      </c>
      <c r="B42" s="27">
        <v>21</v>
      </c>
      <c r="C42" s="33">
        <v>2</v>
      </c>
      <c r="D42" s="28">
        <v>5</v>
      </c>
      <c r="E42" s="28">
        <v>3</v>
      </c>
      <c r="F42" t="s">
        <v>160</v>
      </c>
      <c r="G42" s="10" t="s">
        <v>144</v>
      </c>
      <c r="H42" s="41">
        <v>5</v>
      </c>
      <c r="I42" s="33">
        <v>2</v>
      </c>
      <c r="J42" t="s">
        <v>77</v>
      </c>
      <c r="K42" s="43">
        <f t="shared" si="4"/>
        <v>2</v>
      </c>
      <c r="L42" t="s">
        <v>62</v>
      </c>
      <c r="M42" s="27">
        <f t="shared" si="5"/>
        <v>3</v>
      </c>
      <c r="N42" s="33">
        <v>2</v>
      </c>
      <c r="O42" t="s">
        <v>63</v>
      </c>
      <c r="P42" s="33">
        <f t="shared" si="6"/>
        <v>1</v>
      </c>
    </row>
    <row r="43" spans="1:16" ht="16" x14ac:dyDescent="0.2">
      <c r="A43" t="s">
        <v>168</v>
      </c>
      <c r="B43" s="27">
        <v>21</v>
      </c>
      <c r="C43" s="33">
        <v>1</v>
      </c>
      <c r="D43" s="28">
        <v>3</v>
      </c>
      <c r="E43" s="28">
        <v>3</v>
      </c>
      <c r="F43" t="s">
        <v>116</v>
      </c>
      <c r="G43" t="str" cm="1">
        <f t="array" ref="G43">_xlfn.IFS(OR(F43="Accounting", F43="BIA", F43="Business Analytics", F43="Business Information &amp; Analytics", F43="Business undecided", F43="Finance", F43="Finance &amp; Accounting", F43="Hospitality Management", F43="Hospitality Mgmt", F43="Hospitality management", F43="Interational Business", F43="International Business", F43="Management", F43="Marketing", F43="Real Estate"), "Daniels College of Business", OR(F43="Biology", F43="Chemistry", F43="Integrated Sciences", F43="Molecular Biology", F43="Molecular biology", F43="Physiology", F43="Physiology in health and disease", F43="Math"), "Natural Sciences &amp; Mathematics", OR(F43="Computer Science", F43="Mechanical engineering"), "Engineering &amp; Computer Science", OR(F43="Anthropology", F43="Communication and Media", F43="Communciations", F43="Economics", F43="Economics and Sociology", F43="Emergent Digital Practices", F43="Environmental Science", F43="Environmental science", F43="Gender studies", F43="International Studies", F43="International studies", F43="Journalism and Finance", F43="Journalism and International Studies", F43="Political Science", F43="Psychology", F43="Psychology &amp; Economics", F43="Psychology, French", F43="Psych &amp; spanish", F43="Psych and Spanish", F43="Public policy"), "Arts, Humanities &amp; Social Sciences", OR(F43="Ecology and Biodiversity", F43="Ecology and biodiversity"), "Natural Resources &amp; Sustainability")</f>
        <v>Engineering &amp; Computer Science</v>
      </c>
      <c r="H43" s="41">
        <f t="shared" si="3"/>
        <v>3</v>
      </c>
      <c r="I43" s="33">
        <v>4</v>
      </c>
      <c r="J43" t="s">
        <v>77</v>
      </c>
      <c r="K43" s="43">
        <f t="shared" si="4"/>
        <v>2</v>
      </c>
      <c r="L43" t="s">
        <v>62</v>
      </c>
      <c r="M43" s="27">
        <f t="shared" si="5"/>
        <v>3</v>
      </c>
      <c r="N43" s="33">
        <v>2</v>
      </c>
      <c r="O43" t="s">
        <v>68</v>
      </c>
      <c r="P43" s="33">
        <f t="shared" si="6"/>
        <v>2</v>
      </c>
    </row>
    <row r="44" spans="1:16" ht="16" x14ac:dyDescent="0.2">
      <c r="A44" t="s">
        <v>169</v>
      </c>
      <c r="B44" s="27">
        <v>21</v>
      </c>
      <c r="C44" s="33">
        <v>1</v>
      </c>
      <c r="D44" s="28">
        <v>1</v>
      </c>
      <c r="E44" s="28">
        <v>4</v>
      </c>
      <c r="F44" t="s">
        <v>125</v>
      </c>
      <c r="G44" t="str" cm="1">
        <f t="array" ref="G44">_xlfn.IFS(OR(F44="Accounting", F44="BIA", F44="Business Analytics", F44="Business Information &amp; Analytics", F44="Business undecided", F44="Finance", F44="Finance &amp; Accounting", F44="Hospitality Management", F44="Hospitality Mgmt", F44="Hospitality management", F44="Interational Business", F44="International Business", F44="Management", F44="Marketing", F44="Real Estate"), "Daniels College of Business", OR(F44="Biology", F44="Chemistry", F44="Integrated Sciences", F44="Molecular Biology", F44="Molecular biology", F44="Physiology", F44="Physiology in health and disease", F44="Math"), "Natural Sciences &amp; Mathematics", OR(F44="Computer Science", F44="Mechanical engineering"), "Engineering &amp; Computer Science", OR(F44="Anthropology", F44="Communication and Media", F44="Communciations", F44="Economics", F44="Economics and Sociology", F44="Emergent Digital Practices", F44="Environmental Science", F44="Environmental science", F44="Gender studies", F44="International Studies", F44="International studies", F44="Journalism and Finance", F44="Journalism and International Studies", F44="Political Science", F44="Psychology", F44="Psychology &amp; Economics", F44="Psychology, French", F44="Psych &amp; spanish", F44="Psych and Spanish", F44="Public policy"), "Arts, Humanities &amp; Social Sciences", OR(F44="Ecology and Biodiversity", F44="Ecology and biodiversity"), "Natural Resources &amp; Sustainability")</f>
        <v>Daniels College of Business</v>
      </c>
      <c r="H44" s="41">
        <f t="shared" si="3"/>
        <v>1</v>
      </c>
      <c r="I44" s="33">
        <v>4</v>
      </c>
      <c r="J44" t="s">
        <v>67</v>
      </c>
      <c r="K44" s="43">
        <f t="shared" si="4"/>
        <v>3</v>
      </c>
      <c r="L44" t="s">
        <v>68</v>
      </c>
      <c r="M44" s="27">
        <f t="shared" si="5"/>
        <v>2</v>
      </c>
      <c r="N44" s="33">
        <v>1</v>
      </c>
      <c r="O44" t="s">
        <v>63</v>
      </c>
      <c r="P44" s="33">
        <f t="shared" si="6"/>
        <v>1</v>
      </c>
    </row>
    <row r="45" spans="1:16" ht="16" x14ac:dyDescent="0.2">
      <c r="A45" t="s">
        <v>170</v>
      </c>
      <c r="B45" s="27">
        <v>20</v>
      </c>
      <c r="C45" s="33">
        <v>2</v>
      </c>
      <c r="D45" s="28">
        <v>1</v>
      </c>
      <c r="E45" s="28">
        <v>2</v>
      </c>
      <c r="F45" t="s">
        <v>97</v>
      </c>
      <c r="G45" t="str" cm="1">
        <f t="array" ref="G45">_xlfn.IFS(OR(F45="Accounting", F45="BIA", F45="Business Analytics", F45="Business Information &amp; Analytics", F45="Business undecided", F45="Finance", F45="Finance &amp; Accounting", F45="Hospitality Management", F45="Hospitality Mgmt", F45="Hospitality management", F45="Interational Business", F45="International Business", F45="Management", F45="Marketing", F45="Real Estate"), "Daniels College of Business", OR(F45="Biology", F45="Chemistry", F45="Integrated Sciences", F45="Molecular Biology", F45="Molecular biology", F45="Physiology", F45="Physiology in health and disease", F45="Math"), "Natural Sciences &amp; Mathematics", OR(F45="Computer Science", F45="Mechanical engineering"), "Engineering &amp; Computer Science", OR(F45="Anthropology", F45="Communication and Media", F45="Communciations", F45="Economics", F45="Economics and Sociology", F45="Emergent Digital Practices", F45="Environmental Science", F45="Environmental science", F45="Gender studies", F45="International Studies", F45="International studies", F45="Journalism and Finance", F45="Journalism and International Studies", F45="Political Science", F45="Psychology", F45="Psychology &amp; Economics", F45="Psychology, French", F45="Psych &amp; spanish", F45="Psych and Spanish", F45="Public policy"), "Arts, Humanities &amp; Social Sciences", OR(F45="Ecology and Biodiversity", F45="Ecology and biodiversity"), "Natural Resources &amp; Sustainability")</f>
        <v>Arts, Humanities &amp; Social Sciences</v>
      </c>
      <c r="H45" s="41">
        <f t="shared" si="3"/>
        <v>2</v>
      </c>
      <c r="I45" s="33">
        <v>5</v>
      </c>
      <c r="J45" t="s">
        <v>67</v>
      </c>
      <c r="K45" s="43">
        <f t="shared" si="4"/>
        <v>3</v>
      </c>
      <c r="L45" t="s">
        <v>62</v>
      </c>
      <c r="M45" s="27">
        <f t="shared" si="5"/>
        <v>3</v>
      </c>
      <c r="N45" s="33">
        <v>3</v>
      </c>
      <c r="O45" t="s">
        <v>68</v>
      </c>
      <c r="P45" s="33">
        <f t="shared" si="6"/>
        <v>2</v>
      </c>
    </row>
    <row r="46" spans="1:16" ht="16" x14ac:dyDescent="0.2">
      <c r="A46" t="s">
        <v>171</v>
      </c>
      <c r="B46" s="27">
        <v>19</v>
      </c>
      <c r="C46" s="33">
        <v>2</v>
      </c>
      <c r="D46" s="28">
        <v>3</v>
      </c>
      <c r="E46" s="28">
        <v>1</v>
      </c>
      <c r="F46" t="s">
        <v>172</v>
      </c>
      <c r="G46" t="str" cm="1">
        <f t="array" ref="G46">_xlfn.IFS(OR(F46="Accounting", F46="BIA", F46="Business Analytics", F46="Business Information &amp; Analytics", F46="Business undecided", F46="Finance", F46="Finance &amp; Accounting", F46="Hospitality Management", F46="Hospitality Mgmt", F46="Hospitality management", F46="Interational Business", F46="International Business", F46="Management", F46="Marketing", F46="Real Estate"), "Daniels College of Business", OR(F46="Biology", F46="Chemistry", F46="Integrated Sciences", F46="Molecular Biology", F46="Molecular biology", F46="Physiology", F46="Physiology in health and disease", F46="Math"), "Natural Sciences &amp; Mathematics", OR(F46="Computer Science", F46="Mechanical engineering"), "Engineering &amp; Computer Science", OR(F46="Anthropology", F46="Communication and Media", F46="Communciations", F46="Economics", F46="Economics and Sociology", F46="Emergent Digital Practices", F46="Environmental Science", F46="Environmental science", F46="Gender studies", F46="International Studies", F46="International studies", F46="Journalism and Finance", F46="Journalism and International Studies", F46="Political Science", F46="Psychology", F46="Psychology &amp; Economics", F46="Psychology, French", F46="Psych &amp; spanish", F46="Psych and Spanish", F46="Public policy"), "Arts, Humanities &amp; Social Sciences", OR(F46="Ecology and Biodiversity", F46="Ecology and biodiversity"), "Natural Resources &amp; Sustainability")</f>
        <v>Daniels College of Business</v>
      </c>
      <c r="H46" s="41">
        <f t="shared" si="3"/>
        <v>1</v>
      </c>
      <c r="I46" s="33">
        <v>5</v>
      </c>
      <c r="J46" t="s">
        <v>77</v>
      </c>
      <c r="K46" s="43">
        <f t="shared" si="4"/>
        <v>2</v>
      </c>
      <c r="L46" t="s">
        <v>62</v>
      </c>
      <c r="M46" s="27">
        <f t="shared" si="5"/>
        <v>3</v>
      </c>
      <c r="N46" s="33">
        <v>3</v>
      </c>
      <c r="O46" t="s">
        <v>101</v>
      </c>
      <c r="P46" s="33">
        <f t="shared" si="6"/>
        <v>3</v>
      </c>
    </row>
    <row r="47" spans="1:16" ht="16" x14ac:dyDescent="0.2">
      <c r="A47" t="s">
        <v>173</v>
      </c>
      <c r="B47" s="27">
        <v>21</v>
      </c>
      <c r="C47" s="33">
        <v>2</v>
      </c>
      <c r="D47" s="28">
        <v>1</v>
      </c>
      <c r="E47" s="28">
        <v>3</v>
      </c>
      <c r="F47" t="s">
        <v>116</v>
      </c>
      <c r="G47" t="s">
        <v>251</v>
      </c>
      <c r="H47" s="41">
        <f t="shared" si="3"/>
        <v>3</v>
      </c>
      <c r="I47" s="33">
        <v>3</v>
      </c>
      <c r="J47" t="s">
        <v>67</v>
      </c>
      <c r="K47" s="43">
        <f t="shared" si="4"/>
        <v>3</v>
      </c>
      <c r="L47" t="s">
        <v>68</v>
      </c>
      <c r="M47" s="27">
        <f t="shared" si="5"/>
        <v>2</v>
      </c>
      <c r="N47" s="33">
        <v>3</v>
      </c>
      <c r="O47" t="s">
        <v>68</v>
      </c>
      <c r="P47" s="33">
        <f t="shared" si="6"/>
        <v>2</v>
      </c>
    </row>
    <row r="48" spans="1:16" ht="16" x14ac:dyDescent="0.2">
      <c r="A48" t="s">
        <v>175</v>
      </c>
      <c r="B48" s="27">
        <v>21</v>
      </c>
      <c r="C48" s="33">
        <v>2</v>
      </c>
      <c r="D48" s="28">
        <v>5</v>
      </c>
      <c r="E48" s="28">
        <v>3</v>
      </c>
      <c r="F48" t="s">
        <v>90</v>
      </c>
      <c r="G48" t="s">
        <v>91</v>
      </c>
      <c r="H48" s="41">
        <f t="shared" si="3"/>
        <v>1</v>
      </c>
      <c r="I48" s="33">
        <v>3</v>
      </c>
      <c r="J48" t="s">
        <v>67</v>
      </c>
      <c r="K48" s="43">
        <f t="shared" si="4"/>
        <v>3</v>
      </c>
      <c r="L48" t="s">
        <v>107</v>
      </c>
      <c r="M48" s="27">
        <f t="shared" si="5"/>
        <v>4</v>
      </c>
      <c r="N48" s="33">
        <v>3</v>
      </c>
      <c r="O48" t="s">
        <v>107</v>
      </c>
      <c r="P48" s="33">
        <f t="shared" si="6"/>
        <v>4</v>
      </c>
    </row>
    <row r="49" spans="1:16" ht="16" x14ac:dyDescent="0.2">
      <c r="A49" t="s">
        <v>176</v>
      </c>
      <c r="B49" s="27">
        <v>20</v>
      </c>
      <c r="C49" s="33">
        <v>2</v>
      </c>
      <c r="D49" s="28">
        <v>1</v>
      </c>
      <c r="E49" s="28">
        <v>2</v>
      </c>
      <c r="F49" t="s">
        <v>268</v>
      </c>
      <c r="G49" t="s">
        <v>144</v>
      </c>
      <c r="H49" s="41">
        <v>5</v>
      </c>
      <c r="I49" s="33">
        <v>4</v>
      </c>
      <c r="J49" t="s">
        <v>67</v>
      </c>
      <c r="K49" s="43">
        <f t="shared" si="4"/>
        <v>3</v>
      </c>
      <c r="L49" t="s">
        <v>62</v>
      </c>
      <c r="M49" s="27">
        <f t="shared" si="5"/>
        <v>3</v>
      </c>
      <c r="N49" s="33">
        <v>3</v>
      </c>
      <c r="O49" t="s">
        <v>68</v>
      </c>
      <c r="P49" s="33">
        <f t="shared" si="6"/>
        <v>2</v>
      </c>
    </row>
    <row r="50" spans="1:16" ht="16" x14ac:dyDescent="0.2">
      <c r="A50" t="s">
        <v>178</v>
      </c>
      <c r="B50" s="27">
        <v>21</v>
      </c>
      <c r="C50" s="33">
        <v>2</v>
      </c>
      <c r="D50" s="28">
        <v>1</v>
      </c>
      <c r="E50" s="28">
        <v>3</v>
      </c>
      <c r="F50" t="s">
        <v>160</v>
      </c>
      <c r="G50" t="s">
        <v>144</v>
      </c>
      <c r="H50" s="41">
        <v>5</v>
      </c>
      <c r="I50" s="33">
        <v>4</v>
      </c>
      <c r="J50" t="s">
        <v>77</v>
      </c>
      <c r="K50" s="43">
        <f t="shared" si="4"/>
        <v>2</v>
      </c>
      <c r="L50" t="s">
        <v>68</v>
      </c>
      <c r="M50" s="27">
        <f t="shared" si="5"/>
        <v>2</v>
      </c>
      <c r="N50" s="33">
        <v>2</v>
      </c>
      <c r="O50" t="s">
        <v>63</v>
      </c>
      <c r="P50" s="33">
        <f t="shared" si="6"/>
        <v>1</v>
      </c>
    </row>
    <row r="51" spans="1:16" ht="16" x14ac:dyDescent="0.2">
      <c r="A51" t="s">
        <v>179</v>
      </c>
      <c r="B51" s="27">
        <v>20</v>
      </c>
      <c r="C51" s="33">
        <v>2</v>
      </c>
      <c r="D51" s="28">
        <v>1</v>
      </c>
      <c r="E51" s="28">
        <v>3</v>
      </c>
      <c r="F51" t="s">
        <v>118</v>
      </c>
      <c r="G51" t="s">
        <v>114</v>
      </c>
      <c r="H51" s="41">
        <f t="shared" si="3"/>
        <v>4</v>
      </c>
      <c r="I51" s="33">
        <v>3</v>
      </c>
      <c r="J51" t="s">
        <v>67</v>
      </c>
      <c r="K51" s="43">
        <f t="shared" si="4"/>
        <v>3</v>
      </c>
      <c r="L51" t="s">
        <v>62</v>
      </c>
      <c r="M51" s="27">
        <f t="shared" si="5"/>
        <v>3</v>
      </c>
      <c r="N51" s="33">
        <v>2</v>
      </c>
      <c r="O51" t="s">
        <v>63</v>
      </c>
      <c r="P51" s="33">
        <f t="shared" si="6"/>
        <v>1</v>
      </c>
    </row>
    <row r="52" spans="1:16" ht="16" x14ac:dyDescent="0.2">
      <c r="A52" t="s">
        <v>180</v>
      </c>
      <c r="B52" s="27">
        <v>20</v>
      </c>
      <c r="C52" s="33">
        <v>2</v>
      </c>
      <c r="D52" s="28">
        <v>1</v>
      </c>
      <c r="E52" s="28">
        <v>2</v>
      </c>
      <c r="F52" t="s">
        <v>181</v>
      </c>
      <c r="G52" t="str" cm="1">
        <f t="array" ref="G52">_xlfn.IFS(OR(F52="Accounting", F52="BIA", F52="Business Analytics", F52="Business Information &amp; Analytics", F52="Business undecided", F52="Finance", F52="Finance &amp; Accounting", F52="Hospitality Management", F52="Hospitality Mgmt", F52="Hospitality management", F52="Interational Business", F52="International Business", F52="Management", F52="Marketing", F52="Real Estate"), "Daniels College of Business", OR(F52="Biology", F52="Chemistry", F52="Integrated Sciences", F52="Molecular Biology", F52="Molecular biology", F52="Physiology", F52="Physiology in health and disease", F52="Math"), "Natural Sciences &amp; Mathematics", OR(F52="Computer Science", F52="Mechanical engineering"), "Engineering &amp; Computer Science", OR(F52="Anthropology", F52="Communication and Media", F52="Communciations", F52="Economics", F52="Economics and Sociology", F52="Emergent Digital Practices", F52="Environmental Science", F52="Environmental science", F52="Gender studies", F52="International Studies", F52="International studies", F52="Journalism and Finance", F52="Journalism and International Studies", F52="Political Science", F52="Psychology", F52="Psychology &amp; Economics", F52="Psychology, French", F52="Psych &amp; spanish", F52="Psych and Spanish", F52="Public policy"), "Arts, Humanities &amp; Social Sciences", OR(F52="Ecology and Biodiversity", F52="Ecology and biodiversity"), "Natural Resources &amp; Sustainability")</f>
        <v>Arts, Humanities &amp; Social Sciences</v>
      </c>
      <c r="H52" s="41">
        <f t="shared" si="3"/>
        <v>2</v>
      </c>
      <c r="I52" s="33">
        <v>2</v>
      </c>
      <c r="J52" t="s">
        <v>67</v>
      </c>
      <c r="K52" s="43">
        <f t="shared" si="4"/>
        <v>3</v>
      </c>
      <c r="L52" t="s">
        <v>68</v>
      </c>
      <c r="M52" s="27">
        <f t="shared" si="5"/>
        <v>2</v>
      </c>
      <c r="N52" s="33">
        <v>2</v>
      </c>
      <c r="O52" t="s">
        <v>68</v>
      </c>
      <c r="P52" s="33">
        <f t="shared" si="6"/>
        <v>2</v>
      </c>
    </row>
    <row r="53" spans="1:16" ht="16" x14ac:dyDescent="0.2">
      <c r="A53" t="s">
        <v>182</v>
      </c>
      <c r="B53" s="27">
        <v>22</v>
      </c>
      <c r="C53" s="33">
        <v>1</v>
      </c>
      <c r="D53" s="28">
        <v>2</v>
      </c>
      <c r="E53" s="28">
        <v>1</v>
      </c>
      <c r="F53" t="s">
        <v>184</v>
      </c>
      <c r="G53" t="str" cm="1">
        <f t="array" ref="G53">_xlfn.IFS(OR(F53="Accounting", F53="BIA", F53="Business Analytics", F53="Business Information &amp; Analytics", F53="Business undecided", F53="Finance", F53="Finance &amp; Accounting", F53="Hospitality Management", F53="Hospitality Mgmt", F53="Hospitality management", F53="Interational Business", F53="International Business", F53="Management", F53="Marketing", F53="Real Estate"), "Daniels College of Business", OR(F53="Biology", F53="Chemistry", F53="Integrated Sciences", F53="Molecular Biology", F53="Molecular biology", F53="Physiology", F53="Physiology in health and disease", F53="Math"), "Natural Sciences &amp; Mathematics", OR(F53="Computer Science", F53="Mechanical engineering"), "Engineering &amp; Computer Science", OR(F53="Anthropology", F53="Communication and Media", F53="Communciations", F53="Economics", F53="Economics and Sociology", F53="Emergent Digital Practices", F53="Environmental Science", F53="Environmental science", F53="Gender studies", F53="International Studies", F53="International studies", F53="Journalism and Finance", F53="Journalism and International Studies", F53="Political Science", F53="Psychology", F53="Psychology &amp; Economics", F53="Psychology, French", F53="Psych &amp; spanish", F53="Psych and Spanish", F53="Public policy"), "Arts, Humanities &amp; Social Sciences", OR(F53="Ecology and Biodiversity", F53="Ecology and biodiversity"), "Natural Resources &amp; Sustainability")</f>
        <v>Arts, Humanities &amp; Social Sciences</v>
      </c>
      <c r="H53" s="41">
        <f t="shared" si="3"/>
        <v>2</v>
      </c>
      <c r="I53" s="33">
        <v>5</v>
      </c>
      <c r="J53" t="s">
        <v>119</v>
      </c>
      <c r="K53" s="43">
        <f t="shared" si="4"/>
        <v>1</v>
      </c>
      <c r="L53" t="s">
        <v>63</v>
      </c>
      <c r="M53" s="27">
        <f t="shared" si="5"/>
        <v>1</v>
      </c>
      <c r="N53" s="33">
        <v>1</v>
      </c>
      <c r="O53" t="s">
        <v>63</v>
      </c>
      <c r="P53" s="33">
        <f t="shared" si="6"/>
        <v>1</v>
      </c>
    </row>
    <row r="54" spans="1:16" ht="16" x14ac:dyDescent="0.2">
      <c r="A54" t="s">
        <v>185</v>
      </c>
      <c r="B54" s="27">
        <v>20</v>
      </c>
      <c r="C54" s="33">
        <v>2</v>
      </c>
      <c r="D54" s="28">
        <v>2</v>
      </c>
      <c r="E54" s="28">
        <v>4</v>
      </c>
      <c r="F54" t="s">
        <v>177</v>
      </c>
      <c r="G54" t="s">
        <v>91</v>
      </c>
      <c r="H54" s="41">
        <f t="shared" si="3"/>
        <v>1</v>
      </c>
      <c r="I54" s="33">
        <v>4</v>
      </c>
      <c r="J54" t="s">
        <v>67</v>
      </c>
      <c r="K54" s="43">
        <f t="shared" si="4"/>
        <v>3</v>
      </c>
      <c r="L54" t="s">
        <v>68</v>
      </c>
      <c r="M54" s="27">
        <f t="shared" si="5"/>
        <v>2</v>
      </c>
      <c r="N54" s="33">
        <v>2</v>
      </c>
      <c r="O54" t="s">
        <v>101</v>
      </c>
      <c r="P54" s="33">
        <f t="shared" si="6"/>
        <v>3</v>
      </c>
    </row>
    <row r="55" spans="1:16" ht="16" x14ac:dyDescent="0.2">
      <c r="A55" t="s">
        <v>187</v>
      </c>
      <c r="B55" s="27">
        <v>20</v>
      </c>
      <c r="C55" s="33">
        <v>2</v>
      </c>
      <c r="D55" s="28">
        <v>1</v>
      </c>
      <c r="E55" s="28">
        <v>3</v>
      </c>
      <c r="F55" t="s">
        <v>269</v>
      </c>
      <c r="G55" t="str" cm="1">
        <f t="array" ref="G55">_xlfn.IFS(OR(F55="Accounting", F55="BIA", F55="Business Analytics", F55="Business Information &amp; Analytics", F55="Business undecided", F55="Finance", F55="Finance &amp; Accounting", F55="Hospitality Management", F55="Hospitality Mgmt", F55="Hospitality management", F55="Interational Business", F55="International Business", F55="Management", F55="Marketing", F55="Real Estate"), "Daniels College of Business", OR(F55="Biology", F55="Chemistry", F55="Integrated Sciences", F55="Molecular Biology", F55="Molecular biology", F55="Physiology", F55="Physiology in health and disease", F55="Math"), "Natural Sciences &amp; Mathematics", OR(F55="Computer Science", F55="Mechanical engineering"), "Engineering &amp; Computer Science", OR(F55="Anthropology", F55="Communication and Media", F55="Communciations", F55="Economics", F55="Economics and Sociology", F55="Emergent Digital Practices", F55="Environmental Science", F55="Environmental science", F55="Gender studies", F55="International Studies", F55="International studies", F55="Journalism and Finance", F55="Journalism and International Studies", F55="Political Science", F55="Psychology", F55="Psychology &amp; Economics", F55="Psychology, French", F55="Psych &amp; spanish", F55="Psych and Spanish", F55="Public policy"), "Arts, Humanities &amp; Social Sciences", OR(F55="Ecology and Biodiversity", F55="Ecology and biodiversity"), "Natural Resources &amp; Sustainability")</f>
        <v>Arts, Humanities &amp; Social Sciences</v>
      </c>
      <c r="H55" s="41">
        <f t="shared" si="3"/>
        <v>2</v>
      </c>
      <c r="I55" s="33">
        <v>4</v>
      </c>
      <c r="J55" t="s">
        <v>77</v>
      </c>
      <c r="K55" s="43">
        <f t="shared" si="4"/>
        <v>2</v>
      </c>
      <c r="L55" t="s">
        <v>62</v>
      </c>
      <c r="M55" s="27">
        <f t="shared" si="5"/>
        <v>3</v>
      </c>
      <c r="N55" s="33">
        <v>2</v>
      </c>
      <c r="O55" t="s">
        <v>63</v>
      </c>
      <c r="P55" s="33">
        <f t="shared" si="6"/>
        <v>1</v>
      </c>
    </row>
    <row r="56" spans="1:16" ht="16" x14ac:dyDescent="0.2">
      <c r="A56" t="s">
        <v>188</v>
      </c>
      <c r="B56" s="27">
        <v>20</v>
      </c>
      <c r="C56" s="33">
        <v>1</v>
      </c>
      <c r="D56" s="28">
        <v>1</v>
      </c>
      <c r="E56" s="28">
        <v>3</v>
      </c>
      <c r="F56" t="s">
        <v>189</v>
      </c>
      <c r="G56" t="s">
        <v>144</v>
      </c>
      <c r="H56" s="41">
        <v>5</v>
      </c>
      <c r="I56" s="33">
        <v>2</v>
      </c>
      <c r="J56" t="s">
        <v>119</v>
      </c>
      <c r="K56" s="43">
        <f t="shared" si="4"/>
        <v>1</v>
      </c>
      <c r="L56" t="s">
        <v>68</v>
      </c>
      <c r="M56" s="27">
        <f t="shared" si="5"/>
        <v>2</v>
      </c>
      <c r="N56" s="33">
        <v>2</v>
      </c>
      <c r="O56" t="s">
        <v>63</v>
      </c>
      <c r="P56" s="33">
        <f t="shared" si="6"/>
        <v>1</v>
      </c>
    </row>
    <row r="57" spans="1:16" ht="16" x14ac:dyDescent="0.2">
      <c r="A57" t="s">
        <v>191</v>
      </c>
      <c r="B57" s="27">
        <v>21</v>
      </c>
      <c r="C57" s="33">
        <v>2</v>
      </c>
      <c r="D57" s="28">
        <v>1</v>
      </c>
      <c r="E57" s="28">
        <v>3</v>
      </c>
      <c r="F57" t="s">
        <v>154</v>
      </c>
      <c r="G57" t="s">
        <v>91</v>
      </c>
      <c r="H57" s="41">
        <f t="shared" si="3"/>
        <v>1</v>
      </c>
      <c r="I57" s="33">
        <v>2</v>
      </c>
      <c r="J57" t="s">
        <v>77</v>
      </c>
      <c r="K57" s="43">
        <f t="shared" si="4"/>
        <v>2</v>
      </c>
      <c r="L57" t="s">
        <v>63</v>
      </c>
      <c r="M57" s="27">
        <f t="shared" si="5"/>
        <v>1</v>
      </c>
      <c r="N57" s="33">
        <v>2</v>
      </c>
      <c r="O57" t="s">
        <v>63</v>
      </c>
      <c r="P57" s="33">
        <f t="shared" si="6"/>
        <v>1</v>
      </c>
    </row>
    <row r="58" spans="1:16" ht="16" x14ac:dyDescent="0.2">
      <c r="A58" t="s">
        <v>192</v>
      </c>
      <c r="B58" s="27">
        <v>20</v>
      </c>
      <c r="C58" s="33">
        <v>2</v>
      </c>
      <c r="D58" s="28">
        <v>1</v>
      </c>
      <c r="E58" s="28">
        <v>2</v>
      </c>
      <c r="F58" t="s">
        <v>193</v>
      </c>
      <c r="G58" t="s">
        <v>114</v>
      </c>
      <c r="H58" s="41">
        <f t="shared" si="3"/>
        <v>4</v>
      </c>
      <c r="I58" s="33">
        <v>2</v>
      </c>
      <c r="J58" t="s">
        <v>67</v>
      </c>
      <c r="K58" s="43">
        <f t="shared" si="4"/>
        <v>3</v>
      </c>
      <c r="L58" t="s">
        <v>68</v>
      </c>
      <c r="M58" s="27">
        <f t="shared" si="5"/>
        <v>2</v>
      </c>
      <c r="N58" s="33">
        <v>2</v>
      </c>
      <c r="O58" t="s">
        <v>68</v>
      </c>
      <c r="P58" s="33">
        <f t="shared" si="6"/>
        <v>2</v>
      </c>
    </row>
    <row r="59" spans="1:16" ht="16" x14ac:dyDescent="0.2">
      <c r="A59" t="s">
        <v>194</v>
      </c>
      <c r="B59" s="27">
        <v>18</v>
      </c>
      <c r="C59" s="33">
        <v>2</v>
      </c>
      <c r="D59" s="28">
        <v>2</v>
      </c>
      <c r="E59" s="28">
        <v>1</v>
      </c>
      <c r="F59" t="s">
        <v>196</v>
      </c>
      <c r="G59" t="s">
        <v>144</v>
      </c>
      <c r="H59" s="41">
        <v>5</v>
      </c>
      <c r="I59" s="33">
        <v>1</v>
      </c>
      <c r="J59" t="s">
        <v>77</v>
      </c>
      <c r="K59" s="43">
        <f t="shared" si="4"/>
        <v>2</v>
      </c>
      <c r="L59" t="s">
        <v>63</v>
      </c>
      <c r="M59" s="27">
        <f t="shared" si="5"/>
        <v>1</v>
      </c>
      <c r="N59" s="33">
        <v>3</v>
      </c>
      <c r="O59" t="s">
        <v>63</v>
      </c>
      <c r="P59" s="33">
        <f t="shared" si="6"/>
        <v>1</v>
      </c>
    </row>
    <row r="60" spans="1:16" ht="16" x14ac:dyDescent="0.2">
      <c r="A60" t="s">
        <v>197</v>
      </c>
      <c r="B60" s="27">
        <v>20</v>
      </c>
      <c r="C60" s="33">
        <v>2</v>
      </c>
      <c r="D60" s="28">
        <v>1</v>
      </c>
      <c r="E60" s="28">
        <v>3</v>
      </c>
      <c r="F60" t="s">
        <v>198</v>
      </c>
      <c r="G60" t="str" cm="1">
        <f t="array" ref="G60">_xlfn.IFS(OR(F60="Accounting", F60="BIA", F60="Business Analytics", F60="Business Information &amp; Analytics", F60="Business undecided", F60="Finance", F60="Finance &amp; Accounting", F60="Hospitality Management", F60="Hospitality Mgmt", F60="Hospitality management", F60="Interational Business", F60="International Business", F60="Management", F60="Marketing", F60="Real Estate"), "Daniels College of Business", OR(F60="Biology", F60="Chemistry", F60="Integrated Sciences", F60="Molecular Biology", F60="Molecular biology", F60="Physiology", F60="Physiology in health and disease", F60="Math"), "Natural Sciences &amp; Mathematics", OR(F60="Computer Science", F60="Mechanical engineering"), "Engineering &amp; Computer Science", OR(F60="Anthropology", F60="Communication and Media", F60="Communciations", F60="Economics", F60="Economics and Sociology", F60="Emergent Digital Practices", F60="Environmental Science", F60="Environmental science", F60="Gender studies", F60="International Studies", F60="International studies", F60="Journalism and Finance", F60="Journalism and International Studies", F60="Political Science", F60="Psychology", F60="Psychology &amp; Economics", F60="Psychology, French", F60="Psych &amp; spanish", F60="Psych and Spanish", F60="Public policy"), "Arts, Humanities &amp; Social Sciences", OR(F60="Ecology and Biodiversity", F60="Ecology and biodiversity"), "Natural Resources &amp; Sustainability")</f>
        <v>Arts, Humanities &amp; Social Sciences</v>
      </c>
      <c r="H60" s="41">
        <f t="shared" si="3"/>
        <v>2</v>
      </c>
      <c r="I60" s="33">
        <v>4</v>
      </c>
      <c r="J60" t="s">
        <v>67</v>
      </c>
      <c r="K60" s="43">
        <f t="shared" si="4"/>
        <v>3</v>
      </c>
      <c r="L60" t="s">
        <v>62</v>
      </c>
      <c r="M60" s="27">
        <f t="shared" si="5"/>
        <v>3</v>
      </c>
      <c r="N60" s="33">
        <v>2</v>
      </c>
      <c r="O60" t="s">
        <v>63</v>
      </c>
      <c r="P60" s="33">
        <f t="shared" si="6"/>
        <v>1</v>
      </c>
    </row>
    <row r="61" spans="1:16" ht="16" x14ac:dyDescent="0.2">
      <c r="A61" t="s">
        <v>199</v>
      </c>
      <c r="B61" s="27">
        <v>20</v>
      </c>
      <c r="C61" s="33">
        <v>2</v>
      </c>
      <c r="D61" s="28">
        <v>1</v>
      </c>
      <c r="E61" s="28">
        <v>2</v>
      </c>
      <c r="F61" t="s">
        <v>270</v>
      </c>
      <c r="G61" t="s">
        <v>144</v>
      </c>
      <c r="H61" s="41">
        <v>5</v>
      </c>
      <c r="I61" s="33">
        <v>3</v>
      </c>
      <c r="J61" t="s">
        <v>77</v>
      </c>
      <c r="K61" s="43">
        <f t="shared" si="4"/>
        <v>2</v>
      </c>
      <c r="L61" t="s">
        <v>68</v>
      </c>
      <c r="M61" s="27">
        <f t="shared" si="5"/>
        <v>2</v>
      </c>
      <c r="N61" s="33">
        <v>2</v>
      </c>
      <c r="O61" t="s">
        <v>63</v>
      </c>
      <c r="P61" s="33">
        <f t="shared" si="6"/>
        <v>1</v>
      </c>
    </row>
    <row r="62" spans="1:16" ht="16" x14ac:dyDescent="0.2">
      <c r="A62" t="s">
        <v>201</v>
      </c>
      <c r="B62" s="27">
        <v>21</v>
      </c>
      <c r="C62" s="33">
        <v>2</v>
      </c>
      <c r="D62" s="28">
        <v>1</v>
      </c>
      <c r="E62" s="28">
        <v>4</v>
      </c>
      <c r="F62" t="s">
        <v>131</v>
      </c>
      <c r="G62" t="str" cm="1">
        <f t="array" ref="G62">_xlfn.IFS(OR(F62="Accounting", F62="BIA", F62="Business Analytics", F62="Business Information &amp; Analytics", F62="Business undecided", F62="Finance", F62="Finance &amp; Accounting", F62="Hospitality Management", F62="Hospitality Mgmt", F62="Hospitality management", F62="Interational Business", F62="International Business", F62="Management", F62="Marketing", F62="Real Estate"), "Daniels College of Business", OR(F62="Biology", F62="Chemistry", F62="Integrated Sciences", F62="Molecular Biology", F62="Molecular biology", F62="Physiology", F62="Physiology in health and disease", F62="Math"), "Natural Sciences &amp; Mathematics", OR(F62="Computer Science", F62="Mechanical engineering"), "Engineering &amp; Computer Science", OR(F62="Anthropology", F62="Communication and Media", F62="Communciations", F62="Economics", F62="Economics and Sociology", F62="Emergent Digital Practices", F62="Environmental Science", F62="Environmental science", F62="Gender studies", F62="International Studies", F62="International studies", F62="Journalism and Finance", F62="Journalism and International Studies", F62="Political Science", F62="Psychology", F62="Psychology &amp; Economics", F62="Psychology, French", F62="Psych &amp; spanish", F62="Psych and Spanish", F62="Public policy"), "Arts, Humanities &amp; Social Sciences", OR(F62="Ecology and Biodiversity", F62="Ecology and biodiversity"), "Natural Resources &amp; Sustainability")</f>
        <v>Arts, Humanities &amp; Social Sciences</v>
      </c>
      <c r="H62" s="41">
        <f t="shared" si="3"/>
        <v>2</v>
      </c>
      <c r="I62" s="33">
        <v>3</v>
      </c>
      <c r="J62" t="s">
        <v>77</v>
      </c>
      <c r="K62" s="43">
        <f t="shared" si="4"/>
        <v>2</v>
      </c>
      <c r="L62" t="s">
        <v>68</v>
      </c>
      <c r="M62" s="27">
        <f t="shared" si="5"/>
        <v>2</v>
      </c>
      <c r="N62" s="33">
        <v>1</v>
      </c>
      <c r="O62" t="s">
        <v>63</v>
      </c>
      <c r="P62" s="33">
        <f t="shared" si="6"/>
        <v>1</v>
      </c>
    </row>
    <row r="63" spans="1:16" ht="16" x14ac:dyDescent="0.2">
      <c r="A63" t="s">
        <v>202</v>
      </c>
      <c r="B63" s="27">
        <v>22</v>
      </c>
      <c r="C63" s="33">
        <v>1</v>
      </c>
      <c r="D63" s="28">
        <v>1</v>
      </c>
      <c r="E63" s="28">
        <v>4</v>
      </c>
      <c r="F63" t="s">
        <v>203</v>
      </c>
      <c r="G63" t="str" cm="1">
        <f t="array" ref="G63">_xlfn.IFS(OR(F63="Accounting", F63="BIA", F63="Business Analytics", F63="Business Information &amp; Analytics", F63="Business undecided", F63="Finance", F63="Finance &amp; Accounting", F63="Hospitality Management", F63="Hospitality Mgmt", F63="Hospitality management", F63="Interational Business", F63="International Business", F63="Management", F63="Marketing", F63="Real Estate"), "Daniels College of Business", OR(F63="Biology", F63="Chemistry", F63="Integrated Sciences", F63="Molecular Biology", F63="Molecular biology", F63="Physiology", F63="Physiology in health and disease", F63="Math"), "Natural Sciences &amp; Mathematics", OR(F63="Computer Science", F63="Mechanical engineering"), "Engineering &amp; Computer Science", OR(F63="Anthropology", F63="Communication and Media", F63="Communciations", F63="Economics", F63="Economics and Sociology", F63="Emergent Digital Practices", F63="Environmental Science", F63="Environmental science", F63="Gender studies", F63="International Studies", F63="International studies", F63="Journalism and Finance", F63="Journalism and International Studies", F63="Political Science", F63="Psychology", F63="Psychology &amp; Economics", F63="Psychology, French", F63="Psych &amp; spanish", F63="Psych and Spanish", F63="Public policy"), "Arts, Humanities &amp; Social Sciences", OR(F63="Ecology and Biodiversity", F63="Ecology and biodiversity"), "Natural Resources &amp; Sustainability")</f>
        <v>Natural Sciences &amp; Mathematics</v>
      </c>
      <c r="H63" s="41">
        <f t="shared" si="3"/>
        <v>4</v>
      </c>
      <c r="I63" s="33">
        <v>2</v>
      </c>
      <c r="J63" t="s">
        <v>67</v>
      </c>
      <c r="K63" s="43">
        <f t="shared" si="4"/>
        <v>3</v>
      </c>
      <c r="L63" t="s">
        <v>62</v>
      </c>
      <c r="M63" s="27">
        <f t="shared" si="5"/>
        <v>3</v>
      </c>
      <c r="N63" s="33">
        <v>2</v>
      </c>
      <c r="O63" t="s">
        <v>68</v>
      </c>
      <c r="P63" s="33">
        <f t="shared" si="6"/>
        <v>2</v>
      </c>
    </row>
    <row r="64" spans="1:16" ht="16" x14ac:dyDescent="0.2">
      <c r="A64" t="s">
        <v>205</v>
      </c>
      <c r="B64" s="27">
        <v>22</v>
      </c>
      <c r="C64" s="33">
        <v>1</v>
      </c>
      <c r="D64" s="28">
        <v>1</v>
      </c>
      <c r="E64" s="28">
        <v>4</v>
      </c>
      <c r="F64" t="s">
        <v>133</v>
      </c>
      <c r="G64" t="str" cm="1">
        <f t="array" ref="G64">_xlfn.IFS(OR(F64="Accounting", F64="BIA", F64="Business Analytics", F64="Business Information &amp; Analytics", F64="Business undecided", F64="Finance", F64="Finance &amp; Accounting", F64="Hospitality Management", F64="Hospitality Mgmt", F64="Hospitality management", F64="Interational Business", F64="International Business", F64="Management", F64="Marketing", F64="Real Estate"), "Daniels College of Business", OR(F64="Biology", F64="Chemistry", F64="Integrated Sciences", F64="Molecular Biology", F64="Molecular biology", F64="Physiology", F64="Physiology in health and disease", F64="Math"), "Natural Sciences &amp; Mathematics", OR(F64="Computer Science", F64="Mechanical engineering"), "Engineering &amp; Computer Science", OR(F64="Anthropology", F64="Communication and Media", F64="Communciations", F64="Economics", F64="Economics and Sociology", F64="Emergent Digital Practices", F64="Environmental Science", F64="Environmental science", F64="Gender studies", F64="International Studies", F64="International studies", F64="Journalism and Finance", F64="Journalism and International Studies", F64="Political Science", F64="Psychology", F64="Psychology &amp; Economics", F64="Psychology, French", F64="Psych &amp; spanish", F64="Psych and Spanish", F64="Public policy"), "Arts, Humanities &amp; Social Sciences", OR(F64="Ecology and Biodiversity", F64="Ecology and biodiversity"), "Natural Resources &amp; Sustainability")</f>
        <v>Natural Sciences &amp; Mathematics</v>
      </c>
      <c r="H64" s="41">
        <f t="shared" si="3"/>
        <v>4</v>
      </c>
      <c r="I64" s="33">
        <v>2</v>
      </c>
      <c r="J64" t="s">
        <v>60</v>
      </c>
      <c r="K64" s="43">
        <f t="shared" si="4"/>
        <v>4</v>
      </c>
      <c r="L64" t="s">
        <v>68</v>
      </c>
      <c r="M64" s="27">
        <f t="shared" si="5"/>
        <v>2</v>
      </c>
      <c r="N64" s="33">
        <v>3</v>
      </c>
      <c r="O64" t="s">
        <v>63</v>
      </c>
      <c r="P64" s="33">
        <f t="shared" si="6"/>
        <v>1</v>
      </c>
    </row>
    <row r="65" spans="1:16" ht="16" x14ac:dyDescent="0.2">
      <c r="A65" t="s">
        <v>206</v>
      </c>
      <c r="B65" s="27">
        <v>21</v>
      </c>
      <c r="C65" s="33">
        <v>2</v>
      </c>
      <c r="D65" s="28">
        <v>1</v>
      </c>
      <c r="E65" s="28">
        <v>4</v>
      </c>
      <c r="F65" t="s">
        <v>133</v>
      </c>
      <c r="G65" t="str" cm="1">
        <f t="array" ref="G65">_xlfn.IFS(OR(F65="Accounting", F65="BIA", F65="Business Analytics", F65="Business Information &amp; Analytics", F65="Business undecided", F65="Finance", F65="Finance &amp; Accounting", F65="Hospitality Management", F65="Hospitality Mgmt", F65="Hospitality management", F65="Interational Business", F65="International Business", F65="Management", F65="Marketing", F65="Real Estate"), "Daniels College of Business", OR(F65="Biology", F65="Chemistry", F65="Integrated Sciences", F65="Molecular Biology", F65="Molecular biology", F65="Physiology", F65="Physiology in health and disease", F65="Math"), "Natural Sciences &amp; Mathematics", OR(F65="Computer Science", F65="Mechanical engineering"), "Engineering &amp; Computer Science", OR(F65="Anthropology", F65="Communication and Media", F65="Communciations", F65="Economics", F65="Economics and Sociology", F65="Emergent Digital Practices", F65="Environmental Science", F65="Environmental science", F65="Gender studies", F65="International Studies", F65="International studies", F65="Journalism and Finance", F65="Journalism and International Studies", F65="Political Science", F65="Psychology", F65="Psychology &amp; Economics", F65="Psychology, French", F65="Psych &amp; spanish", F65="Psych and Spanish", F65="Public policy"), "Arts, Humanities &amp; Social Sciences", OR(F65="Ecology and Biodiversity", F65="Ecology and biodiversity"), "Natural Resources &amp; Sustainability")</f>
        <v>Natural Sciences &amp; Mathematics</v>
      </c>
      <c r="H65" s="41">
        <f t="shared" si="3"/>
        <v>4</v>
      </c>
      <c r="I65" s="33">
        <v>4</v>
      </c>
      <c r="J65" t="s">
        <v>67</v>
      </c>
      <c r="K65" s="43">
        <f t="shared" si="4"/>
        <v>3</v>
      </c>
      <c r="L65" t="s">
        <v>62</v>
      </c>
      <c r="M65" s="27">
        <f t="shared" si="5"/>
        <v>3</v>
      </c>
      <c r="N65" s="33">
        <v>2</v>
      </c>
      <c r="O65" t="s">
        <v>68</v>
      </c>
      <c r="P65" s="33">
        <f t="shared" si="6"/>
        <v>2</v>
      </c>
    </row>
    <row r="66" spans="1:16" ht="16" x14ac:dyDescent="0.2">
      <c r="A66" t="s">
        <v>207</v>
      </c>
      <c r="B66" s="27">
        <v>18</v>
      </c>
      <c r="C66" s="33">
        <v>2</v>
      </c>
      <c r="D66" s="28">
        <v>1</v>
      </c>
      <c r="E66" s="28">
        <v>1</v>
      </c>
      <c r="F66" t="s">
        <v>208</v>
      </c>
      <c r="G66" t="s">
        <v>91</v>
      </c>
      <c r="H66" s="41">
        <f t="shared" si="3"/>
        <v>1</v>
      </c>
      <c r="I66" s="33">
        <v>3</v>
      </c>
      <c r="J66" t="s">
        <v>60</v>
      </c>
      <c r="K66" s="43">
        <f t="shared" si="4"/>
        <v>4</v>
      </c>
      <c r="L66" t="s">
        <v>62</v>
      </c>
      <c r="M66" s="27">
        <f t="shared" si="5"/>
        <v>3</v>
      </c>
      <c r="N66" s="33">
        <v>3</v>
      </c>
      <c r="O66" t="s">
        <v>68</v>
      </c>
      <c r="P66" s="33">
        <f t="shared" si="6"/>
        <v>2</v>
      </c>
    </row>
    <row r="67" spans="1:16" ht="16" x14ac:dyDescent="0.2">
      <c r="A67" t="s">
        <v>209</v>
      </c>
      <c r="B67" s="27">
        <v>21</v>
      </c>
      <c r="C67" s="33">
        <v>1</v>
      </c>
      <c r="D67" s="28">
        <v>1</v>
      </c>
      <c r="E67" s="28">
        <v>3</v>
      </c>
      <c r="F67" t="s">
        <v>271</v>
      </c>
      <c r="G67" t="s">
        <v>250</v>
      </c>
      <c r="H67" s="41">
        <f t="shared" si="3"/>
        <v>2</v>
      </c>
      <c r="I67" s="33">
        <v>4</v>
      </c>
      <c r="J67" t="s">
        <v>77</v>
      </c>
      <c r="K67" s="43">
        <f t="shared" ref="K67:K98" si="7">IF(J67="Not at all confident", 1,
 IF(J67="Slightly confident", 2,
 IF(J67="Very confident", 3,
 IF(J67="Extremely Confident", 4, ""))))</f>
        <v>2</v>
      </c>
      <c r="L67" t="s">
        <v>68</v>
      </c>
      <c r="M67" s="27">
        <f t="shared" ref="M67:M98" si="8">IF(L67="Not at all", 1,
 IF(L67="Slightly", 2,
 IF(L67="Very much", 3,
 IF(L67="Extremely", 4, ""))))</f>
        <v>2</v>
      </c>
      <c r="N67" s="33">
        <v>2</v>
      </c>
      <c r="O67" t="s">
        <v>63</v>
      </c>
      <c r="P67" s="33">
        <f t="shared" ref="P67:P98" si="9">IF(O67="Not at all", 1,
 IF(O67="Slightly", 2,
 IF(O67="Very much", 3,
 IF(O67="Extremely", 4, ""))))</f>
        <v>1</v>
      </c>
    </row>
    <row r="68" spans="1:16" ht="16" x14ac:dyDescent="0.2">
      <c r="A68" t="s">
        <v>211</v>
      </c>
      <c r="B68" s="27">
        <v>21</v>
      </c>
      <c r="C68" s="33">
        <v>2</v>
      </c>
      <c r="D68" s="28">
        <v>1</v>
      </c>
      <c r="E68" s="28">
        <v>3</v>
      </c>
      <c r="F68" t="s">
        <v>212</v>
      </c>
      <c r="G68" t="s">
        <v>114</v>
      </c>
      <c r="H68" s="41">
        <f t="shared" ref="H68:H93" si="10">IF(G68="Daniels College of Business", 1,
 IF(G68="Arts, Humanities &amp; Social Sciences", 2,
 IF(G68="Engineering &amp; Computer Science", 3,
 IF(G68="Natural Sciences &amp; Mathematics", 4,
 IF(G68="Korbel's School of International Studies", 5, "")))))</f>
        <v>4</v>
      </c>
      <c r="I68" s="33">
        <v>2</v>
      </c>
      <c r="J68" t="s">
        <v>77</v>
      </c>
      <c r="K68" s="43">
        <f t="shared" si="7"/>
        <v>2</v>
      </c>
      <c r="L68" t="s">
        <v>62</v>
      </c>
      <c r="M68" s="27">
        <f t="shared" si="8"/>
        <v>3</v>
      </c>
      <c r="N68" s="33">
        <v>4</v>
      </c>
      <c r="O68" t="s">
        <v>101</v>
      </c>
      <c r="P68" s="33">
        <f t="shared" si="9"/>
        <v>3</v>
      </c>
    </row>
    <row r="69" spans="1:16" ht="16" x14ac:dyDescent="0.2">
      <c r="A69" t="s">
        <v>213</v>
      </c>
      <c r="B69" s="27">
        <v>21</v>
      </c>
      <c r="C69" s="33">
        <v>1</v>
      </c>
      <c r="D69" s="28">
        <v>1</v>
      </c>
      <c r="E69" s="28">
        <v>3</v>
      </c>
      <c r="F69" t="s">
        <v>214</v>
      </c>
      <c r="G69" t="s">
        <v>114</v>
      </c>
      <c r="H69" s="41">
        <f t="shared" si="10"/>
        <v>4</v>
      </c>
      <c r="I69" s="33">
        <v>3</v>
      </c>
      <c r="J69" t="s">
        <v>77</v>
      </c>
      <c r="K69" s="43">
        <f t="shared" si="7"/>
        <v>2</v>
      </c>
      <c r="L69" t="s">
        <v>68</v>
      </c>
      <c r="M69" s="27">
        <f t="shared" si="8"/>
        <v>2</v>
      </c>
      <c r="N69" s="33">
        <v>3</v>
      </c>
      <c r="O69" t="s">
        <v>63</v>
      </c>
      <c r="P69" s="33">
        <f t="shared" si="9"/>
        <v>1</v>
      </c>
    </row>
    <row r="70" spans="1:16" ht="16" x14ac:dyDescent="0.2">
      <c r="A70" t="s">
        <v>215</v>
      </c>
      <c r="B70" s="27">
        <v>20</v>
      </c>
      <c r="C70" s="33">
        <v>1</v>
      </c>
      <c r="D70" s="28">
        <v>1</v>
      </c>
      <c r="E70" s="28">
        <v>1</v>
      </c>
      <c r="F70" t="s">
        <v>216</v>
      </c>
      <c r="G70" t="str" cm="1">
        <f t="array" ref="G70">_xlfn.IFS(OR(F70="Accounting", F70="BIA", F70="Business Analytics", F70="Business Information &amp; Analytics", F70="Business undecided", F70="Finance", F70="Finance &amp; Accounting", F70="Hospitality Management", F70="Hospitality Mgmt", F70="Hospitality management", F70="Interational Business", F70="International Business", F70="Management", F70="Marketing", F70="Real Estate"), "Daniels College of Business", OR(F70="Biology", F70="Chemistry", F70="Integrated Sciences", F70="Molecular Biology", F70="Molecular biology", F70="Physiology", F70="Physiology in health and disease", F70="Math"), "Natural Sciences &amp; Mathematics", OR(F70="Computer Science", F70="Mechanical engineering"), "Engineering &amp; Computer Science", OR(F70="Anthropology", F70="Communication and Media", F70="Communciations", F70="Economics", F70="Economics and Sociology", F70="Emergent Digital Practices", F70="Environmental Science", F70="Environmental science", F70="Gender studies", F70="International Studies", F70="International studies", F70="Journalism and Finance", F70="Journalism and International Studies", F70="Political Science", F70="Psychology", F70="Psychology &amp; Economics", F70="Psychology, French", F70="Psych &amp; spanish", F70="Psych and Spanish", F70="Public policy"), "Arts, Humanities &amp; Social Sciences", OR(F70="Ecology and Biodiversity", F70="Ecology and biodiversity"), "Natural Resources &amp; Sustainability")</f>
        <v>Daniels College of Business</v>
      </c>
      <c r="H70" s="41">
        <f t="shared" si="10"/>
        <v>1</v>
      </c>
      <c r="I70" s="33">
        <v>4</v>
      </c>
      <c r="J70" t="s">
        <v>77</v>
      </c>
      <c r="K70" s="43">
        <f t="shared" si="7"/>
        <v>2</v>
      </c>
      <c r="L70" t="s">
        <v>68</v>
      </c>
      <c r="M70" s="27">
        <f t="shared" si="8"/>
        <v>2</v>
      </c>
      <c r="N70" s="33">
        <v>3</v>
      </c>
      <c r="O70" t="s">
        <v>68</v>
      </c>
      <c r="P70" s="33">
        <f t="shared" si="9"/>
        <v>2</v>
      </c>
    </row>
    <row r="71" spans="1:16" ht="16" x14ac:dyDescent="0.2">
      <c r="A71" t="s">
        <v>217</v>
      </c>
      <c r="B71" s="27">
        <v>20</v>
      </c>
      <c r="C71" s="33">
        <v>1</v>
      </c>
      <c r="D71" s="28">
        <v>1</v>
      </c>
      <c r="E71" s="28">
        <v>2</v>
      </c>
      <c r="F71" t="s">
        <v>218</v>
      </c>
      <c r="G71" t="str" cm="1">
        <f t="array" ref="G71">_xlfn.IFS(OR(F71="Accounting", F71="BIA", F71="Business Analytics", F71="Business Information &amp; Analytics", F71="Business undecided", F71="Finance", F71="Finance &amp; Accounting", F71="Hospitality Management", F71="Hospitality Mgmt", F71="Hospitality management", F71="Interational Business", F71="International Business", F71="Management", F71="Marketing", F71="Real Estate"), "Daniels College of Business", OR(F71="Biology", F71="Chemistry", F71="Integrated Sciences", F71="Molecular Biology", F71="Molecular biology", F71="Physiology", F71="Physiology in health and disease", F71="Math"), "Natural Sciences &amp; Mathematics", OR(F71="Computer Science", F71="Mechanical engineering"), "Engineering &amp; Computer Science", OR(F71="Anthropology", F71="Communication and Media", F71="Communciations", F71="Economics", F71="Economics and Sociology", F71="Emergent Digital Practices", F71="Environmental Science", F71="Environmental science", F71="Gender studies", F71="International Studies", F71="International studies", F71="Journalism and Finance", F71="Journalism and International Studies", F71="Political Science", F71="Psychology", F71="Psychology &amp; Economics", F71="Psychology, French", F71="Psych &amp; spanish", F71="Psych and Spanish", F71="Public policy"), "Arts, Humanities &amp; Social Sciences", OR(F71="Ecology and Biodiversity", F71="Ecology and biodiversity"), "Natural Resources &amp; Sustainability")</f>
        <v>Natural Sciences &amp; Mathematics</v>
      </c>
      <c r="H71" s="41">
        <f t="shared" si="10"/>
        <v>4</v>
      </c>
      <c r="I71" s="33">
        <v>2</v>
      </c>
      <c r="J71" t="s">
        <v>77</v>
      </c>
      <c r="K71" s="43">
        <f t="shared" si="7"/>
        <v>2</v>
      </c>
      <c r="L71" t="s">
        <v>63</v>
      </c>
      <c r="M71" s="27">
        <f t="shared" si="8"/>
        <v>1</v>
      </c>
      <c r="N71" s="33">
        <v>1</v>
      </c>
      <c r="O71" t="s">
        <v>63</v>
      </c>
      <c r="P71" s="33">
        <f t="shared" si="9"/>
        <v>1</v>
      </c>
    </row>
    <row r="72" spans="1:16" ht="16" x14ac:dyDescent="0.2">
      <c r="A72" t="s">
        <v>219</v>
      </c>
      <c r="B72" s="27">
        <v>21</v>
      </c>
      <c r="C72" s="33">
        <v>1</v>
      </c>
      <c r="D72" s="28">
        <v>1</v>
      </c>
      <c r="E72" s="28">
        <v>2</v>
      </c>
      <c r="F72" t="s">
        <v>86</v>
      </c>
      <c r="G72" t="str" cm="1">
        <f t="array" ref="G72">_xlfn.IFS(OR(F72="Accounting", F72="BIA", F72="Business Analytics", F72="Business Information &amp; Analytics", F72="Business undecided", F72="Finance", F72="Finance &amp; Accounting", F72="Hospitality Management", F72="Hospitality Mgmt", F72="Hospitality management", F72="Interational Business", F72="International Business", F72="Management", F72="Marketing", F72="Real Estate"), "Daniels College of Business", OR(F72="Biology", F72="Chemistry", F72="Integrated Sciences", F72="Molecular Biology", F72="Molecular biology", F72="Physiology", F72="Physiology in health and disease", F72="Math"), "Natural Sciences &amp; Mathematics", OR(F72="Computer Science", F72="Mechanical engineering"), "Engineering &amp; Computer Science", OR(F72="Anthropology", F72="Communication and Media", F72="Communciations", F72="Economics", F72="Economics and Sociology", F72="Emergent Digital Practices", F72="Environmental Science", F72="Environmental science", F72="Gender studies", F72="International Studies", F72="International studies", F72="Journalism and Finance", F72="Journalism and International Studies", F72="Political Science", F72="Psychology", F72="Psychology &amp; Economics", F72="Psychology, French", F72="Psych &amp; spanish", F72="Psych and Spanish", F72="Public policy"), "Arts, Humanities &amp; Social Sciences", OR(F72="Ecology and Biodiversity", F72="Ecology and biodiversity"), "Natural Resources &amp; Sustainability")</f>
        <v>Engineering &amp; Computer Science</v>
      </c>
      <c r="H72" s="41">
        <f t="shared" si="10"/>
        <v>3</v>
      </c>
      <c r="I72" s="33">
        <v>3</v>
      </c>
      <c r="J72" t="s">
        <v>77</v>
      </c>
      <c r="K72" s="43">
        <f t="shared" si="7"/>
        <v>2</v>
      </c>
      <c r="L72" t="s">
        <v>62</v>
      </c>
      <c r="M72" s="27">
        <f t="shared" si="8"/>
        <v>3</v>
      </c>
      <c r="N72" s="33">
        <v>2</v>
      </c>
      <c r="O72" t="s">
        <v>63</v>
      </c>
      <c r="P72" s="33">
        <f t="shared" si="9"/>
        <v>1</v>
      </c>
    </row>
    <row r="73" spans="1:16" ht="16" x14ac:dyDescent="0.2">
      <c r="A73" t="s">
        <v>220</v>
      </c>
      <c r="B73" s="27">
        <v>21</v>
      </c>
      <c r="C73" s="33">
        <v>2</v>
      </c>
      <c r="D73" s="28">
        <v>1</v>
      </c>
      <c r="E73" s="28">
        <v>2</v>
      </c>
      <c r="F73" t="s">
        <v>221</v>
      </c>
      <c r="G73" t="str" cm="1">
        <f t="array" ref="G73">_xlfn.IFS(OR(F73="Accounting", F73="BIA", F73="Business Analytics", F73="Business Information &amp; Analytics", F73="Business undecided", F73="Finance", F73="Finance &amp; Accounting", F73="Hospitality Management", F73="Hospitality Mgmt", F73="Hospitality management", F73="Interational Business", F73="International Business", F73="Management", F73="Marketing", F73="Real Estate"), "Daniels College of Business", OR(F73="Biology", F73="Chemistry", F73="Integrated Sciences", F73="Molecular Biology", F73="Molecular biology", F73="Physiology", F73="Physiology in health and disease", F73="Math"), "Natural Sciences &amp; Mathematics", OR(F73="Computer Science", F73="Mechanical engineering"), "Engineering &amp; Computer Science", OR(F73="Anthropology", F73="Communication and Media", F73="Communciations", F73="Economics", F73="Economics and Sociology", F73="Emergent Digital Practices", F73="Environmental Science", F73="Environmental science", F73="Gender studies", F73="International Studies", F73="International studies", F73="Journalism and Finance", F73="Journalism and International Studies", F73="Political Science", F73="Psychology", F73="Psychology &amp; Economics", F73="Psychology, French", F73="Psych &amp; spanish", F73="Psych and Spanish", F73="Public policy"), "Arts, Humanities &amp; Social Sciences", OR(F73="Ecology and Biodiversity", F73="Ecology and biodiversity"), "Natural Resources &amp; Sustainability")</f>
        <v>Daniels College of Business</v>
      </c>
      <c r="H73" s="41">
        <f t="shared" si="10"/>
        <v>1</v>
      </c>
      <c r="I73" s="33">
        <v>3</v>
      </c>
      <c r="J73" t="s">
        <v>67</v>
      </c>
      <c r="K73" s="43">
        <f t="shared" si="7"/>
        <v>3</v>
      </c>
      <c r="L73" t="s">
        <v>62</v>
      </c>
      <c r="M73" s="27">
        <f t="shared" si="8"/>
        <v>3</v>
      </c>
      <c r="N73" s="33">
        <v>2</v>
      </c>
      <c r="O73" t="s">
        <v>68</v>
      </c>
      <c r="P73" s="33">
        <f t="shared" si="9"/>
        <v>2</v>
      </c>
    </row>
    <row r="74" spans="1:16" ht="16" x14ac:dyDescent="0.2">
      <c r="A74" t="s">
        <v>222</v>
      </c>
      <c r="B74" s="27">
        <v>20</v>
      </c>
      <c r="C74" s="33">
        <v>1</v>
      </c>
      <c r="D74" s="28">
        <v>1</v>
      </c>
      <c r="E74" s="29">
        <v>2</v>
      </c>
      <c r="F74" t="s">
        <v>223</v>
      </c>
      <c r="G74" t="str" cm="1">
        <f t="array" ref="G74">_xlfn.IFS(OR(F74="Accounting", F74="BIA", F74="Business Analytics", F74="Business Information &amp; Analytics", F74="Business undecided", F74="Finance", F74="Finance &amp; Accounting", F74="Hospitality Management", F74="Hospitality Mgmt", F74="Hospitality management", F74="Interational Business", F74="International Business", F74="Management", F74="Marketing", F74="Real Estate"), "Daniels College of Business", OR(F74="Biology", F74="Chemistry", F74="Integrated Sciences", F74="Molecular Biology", F74="Molecular biology", F74="Physiology", F74="Physiology in health and disease", F74="Math"), "Natural Sciences &amp; Mathematics", OR(F74="Computer Science", F74="Mechanical engineering"), "Engineering &amp; Computer Science", OR(F74="Anthropology", F74="Communication and Media", F74="Communciations", F74="Economics", F74="Economics and Sociology", F74="Emergent Digital Practices", F74="Environmental Science", F74="Environmental science", F74="Gender studies", F74="International Studies", F74="International studies", F74="Journalism and Finance", F74="Journalism and International Studies", F74="Political Science", F74="Psychology", F74="Psychology &amp; Economics", F74="Psychology, French", F74="Psych &amp; spanish", F74="Psych and Spanish", F74="Public policy"), "Arts, Humanities &amp; Social Sciences", OR(F74="Ecology and Biodiversity", F74="Ecology and biodiversity"), "Natural Resources &amp; Sustainability")</f>
        <v>Arts, Humanities &amp; Social Sciences</v>
      </c>
      <c r="H74" s="41">
        <f t="shared" si="10"/>
        <v>2</v>
      </c>
      <c r="I74" s="33">
        <v>3</v>
      </c>
      <c r="J74" t="s">
        <v>224</v>
      </c>
      <c r="K74" s="43">
        <v>3</v>
      </c>
      <c r="L74" t="s">
        <v>68</v>
      </c>
      <c r="M74" s="27">
        <f t="shared" si="8"/>
        <v>2</v>
      </c>
      <c r="N74" s="33">
        <v>1</v>
      </c>
      <c r="O74" t="s">
        <v>63</v>
      </c>
      <c r="P74" s="33">
        <f t="shared" si="9"/>
        <v>1</v>
      </c>
    </row>
    <row r="75" spans="1:16" ht="16" x14ac:dyDescent="0.2">
      <c r="A75" t="s">
        <v>225</v>
      </c>
      <c r="B75" s="27">
        <v>20</v>
      </c>
      <c r="C75" s="33">
        <v>1</v>
      </c>
      <c r="D75" s="28">
        <v>1</v>
      </c>
      <c r="E75" s="29">
        <v>2</v>
      </c>
      <c r="F75" t="s">
        <v>133</v>
      </c>
      <c r="G75" t="str" cm="1">
        <f t="array" ref="G75">_xlfn.IFS(OR(F75="Accounting", F75="BIA", F75="Business Analytics", F75="Business Information &amp; Analytics", F75="Business undecided", F75="Finance", F75="Finance &amp; Accounting", F75="Hospitality Management", F75="Hospitality Mgmt", F75="Hospitality management", F75="Interational Business", F75="International Business", F75="Management", F75="Marketing", F75="Real Estate"), "Daniels College of Business", OR(F75="Biology", F75="Chemistry", F75="Integrated Sciences", F75="Molecular Biology", F75="Molecular biology", F75="Physiology", F75="Physiology in health and disease", F75="Math"), "Natural Sciences &amp; Mathematics", OR(F75="Computer Science", F75="Mechanical engineering"), "Engineering &amp; Computer Science", OR(F75="Anthropology", F75="Communication and Media", F75="Communciations", F75="Economics", F75="Economics and Sociology", F75="Emergent Digital Practices", F75="Environmental Science", F75="Environmental science", F75="Gender studies", F75="International Studies", F75="International studies", F75="Journalism and Finance", F75="Journalism and International Studies", F75="Political Science", F75="Psychology", F75="Psychology &amp; Economics", F75="Psychology, French", F75="Psych &amp; spanish", F75="Psych and Spanish", F75="Public policy"), "Arts, Humanities &amp; Social Sciences", OR(F75="Ecology and Biodiversity", F75="Ecology and biodiversity"), "Natural Resources &amp; Sustainability")</f>
        <v>Natural Sciences &amp; Mathematics</v>
      </c>
      <c r="H75" s="41">
        <f t="shared" si="10"/>
        <v>4</v>
      </c>
      <c r="I75" s="33">
        <v>3</v>
      </c>
      <c r="J75" t="s">
        <v>77</v>
      </c>
      <c r="K75" s="43">
        <f t="shared" ref="K75:K94" si="11">IF(J75="Not at all confident", 1,
 IF(J75="Slightly confident", 2,
 IF(J75="Very confident", 3,
 IF(J75="Extremely Confident", 4, ""))))</f>
        <v>2</v>
      </c>
      <c r="L75" t="s">
        <v>62</v>
      </c>
      <c r="M75" s="27">
        <f t="shared" si="8"/>
        <v>3</v>
      </c>
      <c r="N75" s="33">
        <v>1</v>
      </c>
      <c r="O75" t="s">
        <v>63</v>
      </c>
      <c r="P75" s="33">
        <f t="shared" si="9"/>
        <v>1</v>
      </c>
    </row>
    <row r="76" spans="1:16" ht="16" x14ac:dyDescent="0.2">
      <c r="A76" t="s">
        <v>226</v>
      </c>
      <c r="B76" s="27">
        <v>19</v>
      </c>
      <c r="C76" s="33">
        <v>1</v>
      </c>
      <c r="D76" s="28">
        <v>1</v>
      </c>
      <c r="E76" s="28">
        <v>1</v>
      </c>
      <c r="F76" t="s">
        <v>86</v>
      </c>
      <c r="G76" t="str" cm="1">
        <f t="array" ref="G76">_xlfn.IFS(OR(F76="Accounting", F76="BIA", F76="Business Analytics", F76="Business Information &amp; Analytics", F76="Business undecided", F76="Finance", F76="Finance &amp; Accounting", F76="Hospitality Management", F76="Hospitality Mgmt", F76="Hospitality management", F76="Interational Business", F76="International Business", F76="Management", F76="Marketing", F76="Real Estate"), "Daniels College of Business", OR(F76="Biology", F76="Chemistry", F76="Integrated Sciences", F76="Molecular Biology", F76="Molecular biology", F76="Physiology", F76="Physiology in health and disease", F76="Math"), "Natural Sciences &amp; Mathematics", OR(F76="Computer Science", F76="Mechanical engineering"), "Engineering &amp; Computer Science", OR(F76="Anthropology", F76="Communication and Media", F76="Communciations", F76="Economics", F76="Economics and Sociology", F76="Emergent Digital Practices", F76="Environmental Science", F76="Environmental science", F76="Gender studies", F76="International Studies", F76="International studies", F76="Journalism and Finance", F76="Journalism and International Studies", F76="Political Science", F76="Psychology", F76="Psychology &amp; Economics", F76="Psychology, French", F76="Psych &amp; spanish", F76="Psych and Spanish", F76="Public policy"), "Arts, Humanities &amp; Social Sciences", OR(F76="Ecology and Biodiversity", F76="Ecology and biodiversity"), "Natural Resources &amp; Sustainability")</f>
        <v>Engineering &amp; Computer Science</v>
      </c>
      <c r="H76" s="41">
        <f t="shared" si="10"/>
        <v>3</v>
      </c>
      <c r="I76" s="33">
        <v>2</v>
      </c>
      <c r="J76" t="s">
        <v>119</v>
      </c>
      <c r="K76" s="43">
        <f t="shared" si="11"/>
        <v>1</v>
      </c>
      <c r="L76" t="s">
        <v>68</v>
      </c>
      <c r="M76" s="27">
        <f t="shared" si="8"/>
        <v>2</v>
      </c>
      <c r="N76" s="33">
        <v>2</v>
      </c>
      <c r="O76" t="s">
        <v>63</v>
      </c>
      <c r="P76" s="33">
        <f t="shared" si="9"/>
        <v>1</v>
      </c>
    </row>
    <row r="77" spans="1:16" ht="16" x14ac:dyDescent="0.2">
      <c r="A77" t="s">
        <v>227</v>
      </c>
      <c r="B77" s="27">
        <v>21</v>
      </c>
      <c r="C77" s="33">
        <v>2</v>
      </c>
      <c r="D77" s="28">
        <v>1</v>
      </c>
      <c r="E77" s="28">
        <v>4</v>
      </c>
      <c r="F77" t="s">
        <v>116</v>
      </c>
      <c r="G77" t="str" cm="1">
        <f t="array" ref="G77">_xlfn.IFS(OR(F77="Accounting", F77="BIA", F77="Business Analytics", F77="Business Information &amp; Analytics", F77="Business undecided", F77="Finance", F77="Finance &amp; Accounting", F77="Hospitality Management", F77="Hospitality Mgmt", F77="Hospitality management", F77="Interational Business", F77="International Business", F77="Management", F77="Marketing", F77="Real Estate"), "Daniels College of Business", OR(F77="Biology", F77="Chemistry", F77="Integrated Sciences", F77="Molecular Biology", F77="Molecular biology", F77="Physiology", F77="Physiology in health and disease", F77="Math"), "Natural Sciences &amp; Mathematics", OR(F77="Computer Science", F77="Mechanical engineering"), "Engineering &amp; Computer Science", OR(F77="Anthropology", F77="Communication and Media", F77="Communciations", F77="Economics", F77="Economics and Sociology", F77="Emergent Digital Practices", F77="Environmental Science", F77="Environmental science", F77="Gender studies", F77="International Studies", F77="International studies", F77="Journalism and Finance", F77="Journalism and International Studies", F77="Political Science", F77="Psychology", F77="Psychology &amp; Economics", F77="Psychology, French", F77="Psych &amp; spanish", F77="Psych and Spanish", F77="Public policy"), "Arts, Humanities &amp; Social Sciences", OR(F77="Ecology and Biodiversity", F77="Ecology and biodiversity"), "Natural Resources &amp; Sustainability")</f>
        <v>Engineering &amp; Computer Science</v>
      </c>
      <c r="H77" s="41">
        <f t="shared" si="10"/>
        <v>3</v>
      </c>
      <c r="I77" s="33">
        <v>2</v>
      </c>
      <c r="J77" t="s">
        <v>77</v>
      </c>
      <c r="K77" s="43">
        <f t="shared" si="11"/>
        <v>2</v>
      </c>
      <c r="L77" t="s">
        <v>62</v>
      </c>
      <c r="M77" s="27">
        <f t="shared" si="8"/>
        <v>3</v>
      </c>
      <c r="N77" s="33">
        <v>3</v>
      </c>
      <c r="O77" t="s">
        <v>63</v>
      </c>
      <c r="P77" s="33">
        <f t="shared" si="9"/>
        <v>1</v>
      </c>
    </row>
    <row r="78" spans="1:16" ht="16" x14ac:dyDescent="0.2">
      <c r="A78" t="s">
        <v>228</v>
      </c>
      <c r="B78" s="27">
        <v>19</v>
      </c>
      <c r="C78" s="33">
        <v>1</v>
      </c>
      <c r="D78" s="28">
        <v>1</v>
      </c>
      <c r="E78" s="28">
        <v>1</v>
      </c>
      <c r="F78" t="s">
        <v>86</v>
      </c>
      <c r="G78" t="str" cm="1">
        <f t="array" ref="G78">_xlfn.IFS(OR(F78="Accounting", F78="BIA", F78="Business Analytics", F78="Business Information &amp; Analytics", F78="Business undecided", F78="Finance", F78="Finance &amp; Accounting", F78="Hospitality Management", F78="Hospitality Mgmt", F78="Hospitality management", F78="Interational Business", F78="International Business", F78="Management", F78="Marketing", F78="Real Estate"), "Daniels College of Business", OR(F78="Biology", F78="Chemistry", F78="Integrated Sciences", F78="Molecular Biology", F78="Molecular biology", F78="Physiology", F78="Physiology in health and disease", F78="Math"), "Natural Sciences &amp; Mathematics", OR(F78="Computer Science", F78="Mechanical engineering"), "Engineering &amp; Computer Science", OR(F78="Anthropology", F78="Communication and Media", F78="Communciations", F78="Economics", F78="Economics and Sociology", F78="Emergent Digital Practices", F78="Environmental Science", F78="Environmental science", F78="Gender studies", F78="International Studies", F78="International studies", F78="Journalism and Finance", F78="Journalism and International Studies", F78="Political Science", F78="Psychology", F78="Psychology &amp; Economics", F78="Psychology, French", F78="Psych &amp; spanish", F78="Psych and Spanish", F78="Public policy"), "Arts, Humanities &amp; Social Sciences", OR(F78="Ecology and Biodiversity", F78="Ecology and biodiversity"), "Natural Resources &amp; Sustainability")</f>
        <v>Engineering &amp; Computer Science</v>
      </c>
      <c r="H78" s="41">
        <f t="shared" si="10"/>
        <v>3</v>
      </c>
      <c r="I78" s="33">
        <v>4</v>
      </c>
      <c r="J78" t="s">
        <v>67</v>
      </c>
      <c r="K78" s="43">
        <f t="shared" si="11"/>
        <v>3</v>
      </c>
      <c r="L78" t="s">
        <v>62</v>
      </c>
      <c r="M78" s="27">
        <f t="shared" si="8"/>
        <v>3</v>
      </c>
      <c r="N78" s="33">
        <v>1</v>
      </c>
      <c r="O78" t="s">
        <v>68</v>
      </c>
      <c r="P78" s="33">
        <f t="shared" si="9"/>
        <v>2</v>
      </c>
    </row>
    <row r="79" spans="1:16" ht="16" x14ac:dyDescent="0.2">
      <c r="A79" t="s">
        <v>229</v>
      </c>
      <c r="B79" s="27">
        <v>19</v>
      </c>
      <c r="C79" s="33">
        <v>1</v>
      </c>
      <c r="D79" s="28">
        <v>1</v>
      </c>
      <c r="E79" s="28">
        <v>1</v>
      </c>
      <c r="F79" t="s">
        <v>133</v>
      </c>
      <c r="G79" t="str" cm="1">
        <f t="array" ref="G79">_xlfn.IFS(OR(F79="Accounting", F79="BIA", F79="Business Analytics", F79="Business Information &amp; Analytics", F79="Business undecided", F79="Finance", F79="Finance &amp; Accounting", F79="Hospitality Management", F79="Hospitality Mgmt", F79="Hospitality management", F79="Interational Business", F79="International Business", F79="Management", F79="Marketing", F79="Real Estate"), "Daniels College of Business", OR(F79="Biology", F79="Chemistry", F79="Integrated Sciences", F79="Molecular Biology", F79="Molecular biology", F79="Physiology", F79="Physiology in health and disease", F79="Math"), "Natural Sciences &amp; Mathematics", OR(F79="Computer Science", F79="Mechanical engineering"), "Engineering &amp; Computer Science", OR(F79="Anthropology", F79="Communication and Media", F79="Communciations", F79="Economics", F79="Economics and Sociology", F79="Emergent Digital Practices", F79="Environmental Science", F79="Environmental science", F79="Gender studies", F79="International Studies", F79="International studies", F79="Journalism and Finance", F79="Journalism and International Studies", F79="Political Science", F79="Psychology", F79="Psychology &amp; Economics", F79="Psychology, French", F79="Psych &amp; spanish", F79="Psych and Spanish", F79="Public policy"), "Arts, Humanities &amp; Social Sciences", OR(F79="Ecology and Biodiversity", F79="Ecology and biodiversity"), "Natural Resources &amp; Sustainability")</f>
        <v>Natural Sciences &amp; Mathematics</v>
      </c>
      <c r="H79" s="41">
        <f t="shared" si="10"/>
        <v>4</v>
      </c>
      <c r="I79" s="33">
        <v>3</v>
      </c>
      <c r="J79" t="s">
        <v>119</v>
      </c>
      <c r="K79" s="43">
        <f t="shared" si="11"/>
        <v>1</v>
      </c>
      <c r="L79" t="s">
        <v>62</v>
      </c>
      <c r="M79" s="27">
        <f t="shared" si="8"/>
        <v>3</v>
      </c>
      <c r="N79" s="33">
        <v>2</v>
      </c>
      <c r="O79" t="s">
        <v>63</v>
      </c>
      <c r="P79" s="33">
        <f t="shared" si="9"/>
        <v>1</v>
      </c>
    </row>
    <row r="80" spans="1:16" ht="16" x14ac:dyDescent="0.2">
      <c r="A80" t="s">
        <v>230</v>
      </c>
      <c r="B80" s="27">
        <v>20</v>
      </c>
      <c r="C80" s="33">
        <v>1</v>
      </c>
      <c r="D80" s="28">
        <v>1</v>
      </c>
      <c r="E80" s="29">
        <v>2</v>
      </c>
      <c r="F80" t="s">
        <v>231</v>
      </c>
      <c r="G80" t="str" cm="1">
        <f t="array" ref="G80">_xlfn.IFS(OR(F80="Accounting", F80="BIA", F80="Business Analytics", F80="Business Information &amp; Analytics", F80="Business undecided", F80="Finance", F80="Finance &amp; Accounting", F80="Hospitality Management", F80="Hospitality Mgmt", F80="Hospitality management", F80="Interational Business", F80="International Business", F80="Management", F80="Marketing", F80="Real Estate"), "Daniels College of Business", OR(F80="Biology", F80="Chemistry", F80="Integrated Sciences", F80="Molecular Biology", F80="Molecular biology", F80="Physiology", F80="Physiology in health and disease", F80="Math"), "Natural Sciences &amp; Mathematics", OR(F80="Computer Science", F80="Mechanical engineering"), "Engineering &amp; Computer Science", OR(F80="Anthropology", F80="Communication and Media", F80="Communciations", F80="Economics", F80="Economics and Sociology", F80="Emergent Digital Practices", F80="Environmental Science", F80="Environmental science", F80="Gender studies", F80="International Studies", F80="International studies", F80="Journalism and Finance", F80="Journalism and International Studies", F80="Political Science", F80="Psychology", F80="Psychology &amp; Economics", F80="Psychology, French", F80="Psych &amp; spanish", F80="Psych and Spanish", F80="Public policy"), "Arts, Humanities &amp; Social Sciences", OR(F80="Ecology and Biodiversity", F80="Ecology and biodiversity"), "Natural Resources &amp; Sustainability")</f>
        <v>Natural Sciences &amp; Mathematics</v>
      </c>
      <c r="H80" s="41">
        <f t="shared" si="10"/>
        <v>4</v>
      </c>
      <c r="I80" s="33">
        <v>5</v>
      </c>
      <c r="J80" t="s">
        <v>67</v>
      </c>
      <c r="K80" s="43">
        <f t="shared" si="11"/>
        <v>3</v>
      </c>
      <c r="L80" t="s">
        <v>68</v>
      </c>
      <c r="M80" s="27">
        <f t="shared" si="8"/>
        <v>2</v>
      </c>
      <c r="N80" s="33">
        <v>1</v>
      </c>
      <c r="O80" t="s">
        <v>68</v>
      </c>
      <c r="P80" s="33">
        <f t="shared" si="9"/>
        <v>2</v>
      </c>
    </row>
    <row r="81" spans="1:16" ht="16" x14ac:dyDescent="0.2">
      <c r="A81" t="s">
        <v>232</v>
      </c>
      <c r="B81" s="27">
        <v>22</v>
      </c>
      <c r="C81" s="33">
        <v>2</v>
      </c>
      <c r="D81" s="28">
        <v>1</v>
      </c>
      <c r="E81" s="28">
        <v>4</v>
      </c>
      <c r="F81" t="s">
        <v>272</v>
      </c>
      <c r="G81" t="s">
        <v>250</v>
      </c>
      <c r="H81" s="41">
        <v>2</v>
      </c>
      <c r="I81" s="33">
        <v>4</v>
      </c>
      <c r="J81" t="s">
        <v>77</v>
      </c>
      <c r="K81" s="43">
        <f t="shared" si="11"/>
        <v>2</v>
      </c>
      <c r="L81" t="s">
        <v>62</v>
      </c>
      <c r="M81" s="27">
        <f t="shared" si="8"/>
        <v>3</v>
      </c>
      <c r="N81" s="33">
        <v>2</v>
      </c>
      <c r="O81" t="s">
        <v>68</v>
      </c>
      <c r="P81" s="33">
        <f t="shared" si="9"/>
        <v>2</v>
      </c>
    </row>
    <row r="82" spans="1:16" ht="16" x14ac:dyDescent="0.2">
      <c r="A82" t="s">
        <v>233</v>
      </c>
      <c r="B82" s="27">
        <v>20</v>
      </c>
      <c r="C82" s="33">
        <v>2</v>
      </c>
      <c r="D82" s="28">
        <v>1</v>
      </c>
      <c r="E82" s="28">
        <v>2</v>
      </c>
      <c r="F82" t="s">
        <v>116</v>
      </c>
      <c r="G82" t="str" cm="1">
        <f t="array" ref="G82">_xlfn.IFS(OR(F82="Accounting", F82="BIA", F82="Business Analytics", F82="Business Information &amp; Analytics", F82="Business undecided", F82="Finance", F82="Finance &amp; Accounting", F82="Hospitality Management", F82="Hospitality Mgmt", F82="Hospitality management", F82="Interational Business", F82="International Business", F82="Management", F82="Marketing", F82="Real Estate"), "Daniels College of Business", OR(F82="Biology", F82="Chemistry", F82="Integrated Sciences", F82="Molecular Biology", F82="Molecular biology", F82="Physiology", F82="Physiology in health and disease", F82="Math"), "Natural Sciences &amp; Mathematics", OR(F82="Computer Science", F82="Mechanical engineering"), "Engineering &amp; Computer Science", OR(F82="Anthropology", F82="Communication and Media", F82="Communciations", F82="Economics", F82="Economics and Sociology", F82="Emergent Digital Practices", F82="Environmental Science", F82="Environmental science", F82="Gender studies", F82="International Studies", F82="International studies", F82="Journalism and Finance", F82="Journalism and International Studies", F82="Political Science", F82="Psychology", F82="Psychology &amp; Economics", F82="Psychology, French", F82="Psych &amp; spanish", F82="Psych and Spanish", F82="Public policy"), "Arts, Humanities &amp; Social Sciences", OR(F82="Ecology and Biodiversity", F82="Ecology and biodiversity"), "Natural Resources &amp; Sustainability")</f>
        <v>Engineering &amp; Computer Science</v>
      </c>
      <c r="H82" s="41">
        <f t="shared" si="10"/>
        <v>3</v>
      </c>
      <c r="I82" s="33">
        <v>3</v>
      </c>
      <c r="J82" t="s">
        <v>60</v>
      </c>
      <c r="K82" s="43">
        <f t="shared" si="11"/>
        <v>4</v>
      </c>
      <c r="L82" t="s">
        <v>62</v>
      </c>
      <c r="M82" s="27">
        <f t="shared" si="8"/>
        <v>3</v>
      </c>
      <c r="N82" s="33">
        <v>4</v>
      </c>
      <c r="O82" t="s">
        <v>63</v>
      </c>
      <c r="P82" s="33">
        <f t="shared" si="9"/>
        <v>1</v>
      </c>
    </row>
    <row r="83" spans="1:16" ht="16" x14ac:dyDescent="0.2">
      <c r="A83" t="s">
        <v>234</v>
      </c>
      <c r="B83" s="27">
        <v>19</v>
      </c>
      <c r="C83" s="33">
        <v>1</v>
      </c>
      <c r="D83" s="28">
        <v>1</v>
      </c>
      <c r="E83" s="28">
        <v>1</v>
      </c>
      <c r="F83" t="s">
        <v>86</v>
      </c>
      <c r="G83" t="str" cm="1">
        <f t="array" ref="G83">_xlfn.IFS(OR(F83="Accounting", F83="BIA", F83="Business Analytics", F83="Business Information &amp; Analytics", F83="Business undecided", F83="Finance", F83="Finance &amp; Accounting", F83="Hospitality Management", F83="Hospitality Mgmt", F83="Hospitality management", F83="Interational Business", F83="International Business", F83="Management", F83="Marketing", F83="Real Estate"), "Daniels College of Business", OR(F83="Biology", F83="Chemistry", F83="Integrated Sciences", F83="Molecular Biology", F83="Molecular biology", F83="Physiology", F83="Physiology in health and disease", F83="Math"), "Natural Sciences &amp; Mathematics", OR(F83="Computer Science", F83="Mechanical engineering"), "Engineering &amp; Computer Science", OR(F83="Anthropology", F83="Communication and Media", F83="Communciations", F83="Economics", F83="Economics and Sociology", F83="Emergent Digital Practices", F83="Environmental Science", F83="Environmental science", F83="Gender studies", F83="International Studies", F83="International studies", F83="Journalism and Finance", F83="Journalism and International Studies", F83="Political Science", F83="Psychology", F83="Psychology &amp; Economics", F83="Psychology, French", F83="Psych &amp; spanish", F83="Psych and Spanish", F83="Public policy"), "Arts, Humanities &amp; Social Sciences", OR(F83="Ecology and Biodiversity", F83="Ecology and biodiversity"), "Natural Resources &amp; Sustainability")</f>
        <v>Engineering &amp; Computer Science</v>
      </c>
      <c r="H83" s="41">
        <f t="shared" si="10"/>
        <v>3</v>
      </c>
      <c r="I83" s="33">
        <v>5</v>
      </c>
      <c r="J83" t="s">
        <v>67</v>
      </c>
      <c r="K83" s="43">
        <f t="shared" si="11"/>
        <v>3</v>
      </c>
      <c r="L83" t="s">
        <v>68</v>
      </c>
      <c r="M83" s="27">
        <f t="shared" si="8"/>
        <v>2</v>
      </c>
      <c r="N83" s="33">
        <v>2</v>
      </c>
      <c r="O83" t="s">
        <v>101</v>
      </c>
      <c r="P83" s="33">
        <f t="shared" si="9"/>
        <v>3</v>
      </c>
    </row>
    <row r="84" spans="1:16" ht="16" x14ac:dyDescent="0.2">
      <c r="A84" t="s">
        <v>235</v>
      </c>
      <c r="B84" s="27">
        <v>20</v>
      </c>
      <c r="C84" s="33">
        <v>1</v>
      </c>
      <c r="D84" s="28">
        <v>1</v>
      </c>
      <c r="E84" s="29">
        <v>2</v>
      </c>
      <c r="F84" t="s">
        <v>86</v>
      </c>
      <c r="G84" t="str" cm="1">
        <f t="array" ref="G84">_xlfn.IFS(OR(F84="Accounting", F84="BIA", F84="Business Analytics", F84="Business Information &amp; Analytics", F84="Business undecided", F84="Finance", F84="Finance &amp; Accounting", F84="Hospitality Management", F84="Hospitality Mgmt", F84="Hospitality management", F84="Interational Business", F84="International Business", F84="Management", F84="Marketing", F84="Real Estate"), "Daniels College of Business", OR(F84="Biology", F84="Chemistry", F84="Integrated Sciences", F84="Molecular Biology", F84="Molecular biology", F84="Physiology", F84="Physiology in health and disease", F84="Math"), "Natural Sciences &amp; Mathematics", OR(F84="Computer Science", F84="Mechanical engineering"), "Engineering &amp; Computer Science", OR(F84="Anthropology", F84="Communication and Media", F84="Communciations", F84="Economics", F84="Economics and Sociology", F84="Emergent Digital Practices", F84="Environmental Science", F84="Environmental science", F84="Gender studies", F84="International Studies", F84="International studies", F84="Journalism and Finance", F84="Journalism and International Studies", F84="Political Science", F84="Psychology", F84="Psychology &amp; Economics", F84="Psychology, French", F84="Psych &amp; spanish", F84="Psych and Spanish", F84="Public policy"), "Arts, Humanities &amp; Social Sciences", OR(F84="Ecology and Biodiversity", F84="Ecology and biodiversity"), "Natural Resources &amp; Sustainability")</f>
        <v>Engineering &amp; Computer Science</v>
      </c>
      <c r="H84" s="41">
        <f t="shared" si="10"/>
        <v>3</v>
      </c>
      <c r="I84" s="33">
        <v>5</v>
      </c>
      <c r="J84" t="s">
        <v>77</v>
      </c>
      <c r="K84" s="43">
        <f t="shared" si="11"/>
        <v>2</v>
      </c>
      <c r="L84" t="s">
        <v>68</v>
      </c>
      <c r="M84" s="27">
        <f t="shared" si="8"/>
        <v>2</v>
      </c>
      <c r="N84" s="33">
        <v>2</v>
      </c>
      <c r="O84" t="s">
        <v>63</v>
      </c>
      <c r="P84" s="33">
        <f t="shared" si="9"/>
        <v>1</v>
      </c>
    </row>
    <row r="85" spans="1:16" ht="16" x14ac:dyDescent="0.2">
      <c r="A85" t="s">
        <v>236</v>
      </c>
      <c r="B85" s="27">
        <v>21</v>
      </c>
      <c r="C85" s="33">
        <v>1</v>
      </c>
      <c r="D85" s="28">
        <v>1</v>
      </c>
      <c r="E85" s="28">
        <v>4</v>
      </c>
      <c r="F85" t="s">
        <v>116</v>
      </c>
      <c r="G85" t="str" cm="1">
        <f t="array" ref="G85">_xlfn.IFS(OR(F85="Accounting", F85="BIA", F85="Business Analytics", F85="Business Information &amp; Analytics", F85="Business undecided", F85="Finance", F85="Finance &amp; Accounting", F85="Hospitality Management", F85="Hospitality Mgmt", F85="Hospitality management", F85="Interational Business", F85="International Business", F85="Management", F85="Marketing", F85="Real Estate"), "Daniels College of Business", OR(F85="Biology", F85="Chemistry", F85="Integrated Sciences", F85="Molecular Biology", F85="Molecular biology", F85="Physiology", F85="Physiology in health and disease", F85="Math"), "Natural Sciences &amp; Mathematics", OR(F85="Computer Science", F85="Mechanical engineering"), "Engineering &amp; Computer Science", OR(F85="Anthropology", F85="Communication and Media", F85="Communciations", F85="Economics", F85="Economics and Sociology", F85="Emergent Digital Practices", F85="Environmental Science", F85="Environmental science", F85="Gender studies", F85="International Studies", F85="International studies", F85="Journalism and Finance", F85="Journalism and International Studies", F85="Political Science", F85="Psychology", F85="Psychology &amp; Economics", F85="Psychology, French", F85="Psych &amp; spanish", F85="Psych and Spanish", F85="Public policy"), "Arts, Humanities &amp; Social Sciences", OR(F85="Ecology and Biodiversity", F85="Ecology and biodiversity"), "Natural Resources &amp; Sustainability")</f>
        <v>Engineering &amp; Computer Science</v>
      </c>
      <c r="H85" s="41">
        <f t="shared" si="10"/>
        <v>3</v>
      </c>
      <c r="I85" s="33">
        <v>3</v>
      </c>
      <c r="J85" t="s">
        <v>60</v>
      </c>
      <c r="K85" s="43">
        <f t="shared" si="11"/>
        <v>4</v>
      </c>
      <c r="L85" t="s">
        <v>62</v>
      </c>
      <c r="M85" s="27">
        <f t="shared" si="8"/>
        <v>3</v>
      </c>
      <c r="N85" s="33">
        <v>1</v>
      </c>
      <c r="O85" t="s">
        <v>63</v>
      </c>
      <c r="P85" s="33">
        <f t="shared" si="9"/>
        <v>1</v>
      </c>
    </row>
    <row r="86" spans="1:16" ht="16" x14ac:dyDescent="0.2">
      <c r="A86" t="s">
        <v>237</v>
      </c>
      <c r="B86" s="27">
        <v>21</v>
      </c>
      <c r="C86" s="33">
        <v>1</v>
      </c>
      <c r="D86" s="28">
        <v>1</v>
      </c>
      <c r="E86" s="28">
        <v>4</v>
      </c>
      <c r="F86" t="s">
        <v>86</v>
      </c>
      <c r="G86" t="str" cm="1">
        <f t="array" ref="G86">_xlfn.IFS(OR(F86="Accounting", F86="BIA", F86="Business Analytics", F86="Business Information &amp; Analytics", F86="Business undecided", F86="Finance", F86="Finance &amp; Accounting", F86="Hospitality Management", F86="Hospitality Mgmt", F86="Hospitality management", F86="Interational Business", F86="International Business", F86="Management", F86="Marketing", F86="Real Estate"), "Daniels College of Business", OR(F86="Biology", F86="Chemistry", F86="Integrated Sciences", F86="Molecular Biology", F86="Molecular biology", F86="Physiology", F86="Physiology in health and disease", F86="Math"), "Natural Sciences &amp; Mathematics", OR(F86="Computer Science", F86="Mechanical engineering"), "Engineering &amp; Computer Science", OR(F86="Anthropology", F86="Communication and Media", F86="Communciations", F86="Economics", F86="Economics and Sociology", F86="Emergent Digital Practices", F86="Environmental Science", F86="Environmental science", F86="Gender studies", F86="International Studies", F86="International studies", F86="Journalism and Finance", F86="Journalism and International Studies", F86="Political Science", F86="Psychology", F86="Psychology &amp; Economics", F86="Psychology, French", F86="Psych &amp; spanish", F86="Psych and Spanish", F86="Public policy"), "Arts, Humanities &amp; Social Sciences", OR(F86="Ecology and Biodiversity", F86="Ecology and biodiversity"), "Natural Resources &amp; Sustainability")</f>
        <v>Engineering &amp; Computer Science</v>
      </c>
      <c r="H86" s="41">
        <f t="shared" si="10"/>
        <v>3</v>
      </c>
      <c r="I86" s="33">
        <v>2</v>
      </c>
      <c r="J86" t="s">
        <v>119</v>
      </c>
      <c r="K86" s="43">
        <f t="shared" si="11"/>
        <v>1</v>
      </c>
      <c r="L86" t="s">
        <v>68</v>
      </c>
      <c r="M86" s="27">
        <f t="shared" si="8"/>
        <v>2</v>
      </c>
      <c r="N86" s="33">
        <v>2</v>
      </c>
      <c r="O86" t="s">
        <v>63</v>
      </c>
      <c r="P86" s="33">
        <f t="shared" si="9"/>
        <v>1</v>
      </c>
    </row>
    <row r="87" spans="1:16" ht="16" x14ac:dyDescent="0.2">
      <c r="A87" t="s">
        <v>238</v>
      </c>
      <c r="B87" s="27">
        <v>20</v>
      </c>
      <c r="C87" s="33">
        <v>2</v>
      </c>
      <c r="D87" s="28">
        <v>1</v>
      </c>
      <c r="E87" s="28">
        <v>3</v>
      </c>
      <c r="F87" t="s">
        <v>116</v>
      </c>
      <c r="G87" t="str" cm="1">
        <f t="array" ref="G87">_xlfn.IFS(OR(F87="Accounting", F87="BIA", F87="Business Analytics", F87="Business Information &amp; Analytics", F87="Business undecided", F87="Finance", F87="Finance &amp; Accounting", F87="Hospitality Management", F87="Hospitality Mgmt", F87="Hospitality management", F87="Interational Business", F87="International Business", F87="Management", F87="Marketing", F87="Real Estate"), "Daniels College of Business", OR(F87="Biology", F87="Chemistry", F87="Integrated Sciences", F87="Molecular Biology", F87="Molecular biology", F87="Physiology", F87="Physiology in health and disease", F87="Math"), "Natural Sciences &amp; Mathematics", OR(F87="Computer Science", F87="Mechanical engineering"), "Engineering &amp; Computer Science", OR(F87="Anthropology", F87="Communication and Media", F87="Communciations", F87="Economics", F87="Economics and Sociology", F87="Emergent Digital Practices", F87="Environmental Science", F87="Environmental science", F87="Gender studies", F87="International Studies", F87="International studies", F87="Journalism and Finance", F87="Journalism and International Studies", F87="Political Science", F87="Psychology", F87="Psychology &amp; Economics", F87="Psychology, French", F87="Psych &amp; spanish", F87="Psych and Spanish", F87="Public policy"), "Arts, Humanities &amp; Social Sciences", OR(F87="Ecology and Biodiversity", F87="Ecology and biodiversity"), "Natural Resources &amp; Sustainability")</f>
        <v>Engineering &amp; Computer Science</v>
      </c>
      <c r="H87" s="41">
        <f t="shared" si="10"/>
        <v>3</v>
      </c>
      <c r="I87" s="33">
        <v>4</v>
      </c>
      <c r="J87" t="s">
        <v>119</v>
      </c>
      <c r="K87" s="43">
        <f t="shared" si="11"/>
        <v>1</v>
      </c>
      <c r="L87" t="s">
        <v>107</v>
      </c>
      <c r="M87" s="27">
        <f t="shared" si="8"/>
        <v>4</v>
      </c>
      <c r="N87" s="33">
        <v>1</v>
      </c>
      <c r="O87" t="s">
        <v>63</v>
      </c>
      <c r="P87" s="33">
        <f t="shared" si="9"/>
        <v>1</v>
      </c>
    </row>
    <row r="88" spans="1:16" ht="16" x14ac:dyDescent="0.2">
      <c r="A88" t="s">
        <v>239</v>
      </c>
      <c r="B88" s="27">
        <v>20</v>
      </c>
      <c r="C88" s="33">
        <v>1</v>
      </c>
      <c r="D88" s="28">
        <v>2</v>
      </c>
      <c r="E88" s="28">
        <v>4</v>
      </c>
      <c r="F88" t="s">
        <v>86</v>
      </c>
      <c r="G88" t="str" cm="1">
        <f t="array" ref="G88">_xlfn.IFS(OR(F88="Accounting", F88="BIA", F88="Business Analytics", F88="Business Information &amp; Analytics", F88="Business undecided", F88="Finance", F88="Finance &amp; Accounting", F88="Hospitality Management", F88="Hospitality Mgmt", F88="Hospitality management", F88="Interational Business", F88="International Business", F88="Management", F88="Marketing", F88="Real Estate"), "Daniels College of Business", OR(F88="Biology", F88="Chemistry", F88="Integrated Sciences", F88="Molecular Biology", F88="Molecular biology", F88="Physiology", F88="Physiology in health and disease", F88="Math"), "Natural Sciences &amp; Mathematics", OR(F88="Computer Science", F88="Mechanical engineering"), "Engineering &amp; Computer Science", OR(F88="Anthropology", F88="Communication and Media", F88="Communciations", F88="Economics", F88="Economics and Sociology", F88="Emergent Digital Practices", F88="Environmental Science", F88="Environmental science", F88="Gender studies", F88="International Studies", F88="International studies", F88="Journalism and Finance", F88="Journalism and International Studies", F88="Political Science", F88="Psychology", F88="Psychology &amp; Economics", F88="Psychology, French", F88="Psych &amp; spanish", F88="Psych and Spanish", F88="Public policy"), "Arts, Humanities &amp; Social Sciences", OR(F88="Ecology and Biodiversity", F88="Ecology and biodiversity"), "Natural Resources &amp; Sustainability")</f>
        <v>Engineering &amp; Computer Science</v>
      </c>
      <c r="H88" s="41">
        <f t="shared" si="10"/>
        <v>3</v>
      </c>
      <c r="I88" s="33">
        <v>1</v>
      </c>
      <c r="J88" t="s">
        <v>67</v>
      </c>
      <c r="K88" s="43">
        <f t="shared" si="11"/>
        <v>3</v>
      </c>
      <c r="L88" t="s">
        <v>68</v>
      </c>
      <c r="M88" s="27">
        <f t="shared" si="8"/>
        <v>2</v>
      </c>
      <c r="N88" s="33">
        <v>1</v>
      </c>
      <c r="O88" t="s">
        <v>63</v>
      </c>
      <c r="P88" s="33">
        <f t="shared" si="9"/>
        <v>1</v>
      </c>
    </row>
    <row r="89" spans="1:16" ht="16" x14ac:dyDescent="0.2">
      <c r="A89" t="s">
        <v>240</v>
      </c>
      <c r="B89" s="27">
        <v>19</v>
      </c>
      <c r="C89" s="33">
        <v>1</v>
      </c>
      <c r="D89" s="28">
        <v>1</v>
      </c>
      <c r="E89" s="28">
        <v>1</v>
      </c>
      <c r="F89" t="s">
        <v>241</v>
      </c>
      <c r="G89" t="str" cm="1">
        <f t="array" ref="G89">_xlfn.IFS(OR(F89="Accounting", F89="BIA", F89="Business Analytics", F89="Business Information &amp; Analytics", F89="Business undecided", F89="Finance", F89="Finance &amp; Accounting", F89="Hospitality Management", F89="Hospitality Mgmt", F89="Hospitality management", F89="Interational Business", F89="International Business", F89="Management", F89="Marketing", F89="Real Estate"), "Daniels College of Business", OR(F89="Biology", F89="Chemistry", F89="Integrated Sciences", F89="Molecular Biology", F89="Molecular biology", F89="Physiology", F89="Physiology in health and disease", F89="Math"), "Natural Sciences &amp; Mathematics", OR(F89="Computer Science", F89="Mechanical engineering"), "Engineering &amp; Computer Science", OR(F89="Anthropology", F89="Communication and Media", F89="Communciations", F89="Economics", F89="Economics and Sociology", F89="Emergent Digital Practices", F89="Environmental Science", F89="Environmental science", F89="Gender studies", F89="International Studies", F89="International studies", F89="Journalism and Finance", F89="Journalism and International Studies", F89="Political Science", F89="Psychology", F89="Psychology &amp; Economics", F89="Psychology, French", F89="Psych &amp; spanish", F89="Psych and Spanish", F89="Public policy"), "Arts, Humanities &amp; Social Sciences", OR(F89="Ecology and Biodiversity", F89="Ecology and biodiversity"), "Natural Resources &amp; Sustainability")</f>
        <v>Natural Sciences &amp; Mathematics</v>
      </c>
      <c r="H89" s="41">
        <f t="shared" si="10"/>
        <v>4</v>
      </c>
      <c r="I89" s="33">
        <v>5</v>
      </c>
      <c r="J89" t="s">
        <v>60</v>
      </c>
      <c r="K89" s="43">
        <f t="shared" si="11"/>
        <v>4</v>
      </c>
      <c r="L89" t="s">
        <v>68</v>
      </c>
      <c r="M89" s="27">
        <f t="shared" si="8"/>
        <v>2</v>
      </c>
      <c r="N89" s="33">
        <v>2</v>
      </c>
      <c r="O89" t="s">
        <v>63</v>
      </c>
      <c r="P89" s="33">
        <f t="shared" si="9"/>
        <v>1</v>
      </c>
    </row>
    <row r="90" spans="1:16" ht="16" x14ac:dyDescent="0.2">
      <c r="A90" t="s">
        <v>242</v>
      </c>
      <c r="B90" s="27">
        <v>21</v>
      </c>
      <c r="C90" s="33">
        <v>1</v>
      </c>
      <c r="D90" s="28">
        <v>1</v>
      </c>
      <c r="E90" s="28">
        <v>4</v>
      </c>
      <c r="F90" t="s">
        <v>118</v>
      </c>
      <c r="G90" t="s">
        <v>114</v>
      </c>
      <c r="H90" s="41">
        <f t="shared" si="10"/>
        <v>4</v>
      </c>
      <c r="I90" s="33">
        <v>2</v>
      </c>
      <c r="J90" t="s">
        <v>60</v>
      </c>
      <c r="K90" s="43">
        <f t="shared" si="11"/>
        <v>4</v>
      </c>
      <c r="L90" t="s">
        <v>63</v>
      </c>
      <c r="M90" s="27">
        <f t="shared" si="8"/>
        <v>1</v>
      </c>
      <c r="N90" s="33">
        <v>2</v>
      </c>
      <c r="O90" t="s">
        <v>68</v>
      </c>
      <c r="P90" s="33">
        <f t="shared" si="9"/>
        <v>2</v>
      </c>
    </row>
    <row r="91" spans="1:16" ht="16" x14ac:dyDescent="0.2">
      <c r="A91" t="s">
        <v>243</v>
      </c>
      <c r="B91" s="27">
        <v>20</v>
      </c>
      <c r="C91" s="33">
        <v>1</v>
      </c>
      <c r="D91" s="28">
        <v>1</v>
      </c>
      <c r="E91" s="28">
        <v>2</v>
      </c>
      <c r="F91" t="s">
        <v>86</v>
      </c>
      <c r="G91" t="str" cm="1">
        <f t="array" ref="G91">_xlfn.IFS(OR(F91="Accounting", F91="BIA", F91="Business Analytics", F91="Business Information &amp; Analytics", F91="Business undecided", F91="Finance", F91="Finance &amp; Accounting", F91="Hospitality Management", F91="Hospitality Mgmt", F91="Hospitality management", F91="Interational Business", F91="International Business", F91="Management", F91="Marketing", F91="Real Estate"), "Daniels College of Business", OR(F91="Biology", F91="Chemistry", F91="Integrated Sciences", F91="Molecular Biology", F91="Molecular biology", F91="Physiology", F91="Physiology in health and disease", F91="Math"), "Natural Sciences &amp; Mathematics", OR(F91="Computer Science", F91="Mechanical engineering"), "Engineering &amp; Computer Science", OR(F91="Anthropology", F91="Communication and Media", F91="Communciations", F91="Economics", F91="Economics and Sociology", F91="Emergent Digital Practices", F91="Environmental Science", F91="Environmental science", F91="Gender studies", F91="International Studies", F91="International studies", F91="Journalism and Finance", F91="Journalism and International Studies", F91="Political Science", F91="Psychology", F91="Psychology &amp; Economics", F91="Psychology, French", F91="Psych &amp; spanish", F91="Psych and Spanish", F91="Public policy"), "Arts, Humanities &amp; Social Sciences", OR(F91="Ecology and Biodiversity", F91="Ecology and biodiversity"), "Natural Resources &amp; Sustainability")</f>
        <v>Engineering &amp; Computer Science</v>
      </c>
      <c r="H91" s="41">
        <f t="shared" si="10"/>
        <v>3</v>
      </c>
      <c r="I91" s="33">
        <v>4</v>
      </c>
      <c r="J91" t="s">
        <v>60</v>
      </c>
      <c r="K91" s="43">
        <f t="shared" si="11"/>
        <v>4</v>
      </c>
      <c r="L91" t="s">
        <v>62</v>
      </c>
      <c r="M91" s="27">
        <f t="shared" si="8"/>
        <v>3</v>
      </c>
      <c r="N91" s="33">
        <v>1</v>
      </c>
      <c r="O91" t="s">
        <v>68</v>
      </c>
      <c r="P91" s="33">
        <f t="shared" si="9"/>
        <v>2</v>
      </c>
    </row>
    <row r="92" spans="1:16" ht="16" x14ac:dyDescent="0.2">
      <c r="A92" t="s">
        <v>244</v>
      </c>
      <c r="B92" s="27">
        <v>20</v>
      </c>
      <c r="C92" s="33">
        <v>1</v>
      </c>
      <c r="D92" s="28">
        <v>1</v>
      </c>
      <c r="E92" s="28">
        <v>2</v>
      </c>
      <c r="F92" t="s">
        <v>133</v>
      </c>
      <c r="G92" t="str" cm="1">
        <f t="array" ref="G92">_xlfn.IFS(OR(F92="Accounting", F92="BIA", F92="Business Analytics", F92="Business Information &amp; Analytics", F92="Business undecided", F92="Finance", F92="Finance &amp; Accounting", F92="Hospitality Management", F92="Hospitality Mgmt", F92="Hospitality management", F92="Interational Business", F92="International Business", F92="Management", F92="Marketing", F92="Real Estate"), "Daniels College of Business", OR(F92="Biology", F92="Chemistry", F92="Integrated Sciences", F92="Molecular Biology", F92="Molecular biology", F92="Physiology", F92="Physiology in health and disease", F92="Math"), "Natural Sciences &amp; Mathematics", OR(F92="Computer Science", F92="Mechanical engineering"), "Engineering &amp; Computer Science", OR(F92="Anthropology", F92="Communication and Media", F92="Communciations", F92="Economics", F92="Economics and Sociology", F92="Emergent Digital Practices", F92="Environmental Science", F92="Environmental science", F92="Gender studies", F92="International Studies", F92="International studies", F92="Journalism and Finance", F92="Journalism and International Studies", F92="Political Science", F92="Psychology", F92="Psychology &amp; Economics", F92="Psychology, French", F92="Psych &amp; spanish", F92="Psych and Spanish", F92="Public policy"), "Arts, Humanities &amp; Social Sciences", OR(F92="Ecology and Biodiversity", F92="Ecology and biodiversity"), "Natural Resources &amp; Sustainability")</f>
        <v>Natural Sciences &amp; Mathematics</v>
      </c>
      <c r="H92" s="41">
        <f t="shared" si="10"/>
        <v>4</v>
      </c>
      <c r="I92" s="33">
        <v>5</v>
      </c>
      <c r="J92" t="s">
        <v>67</v>
      </c>
      <c r="K92" s="43">
        <f t="shared" si="11"/>
        <v>3</v>
      </c>
      <c r="L92" t="s">
        <v>68</v>
      </c>
      <c r="M92" s="27">
        <f t="shared" si="8"/>
        <v>2</v>
      </c>
      <c r="N92" s="33">
        <v>2</v>
      </c>
      <c r="O92" t="s">
        <v>63</v>
      </c>
      <c r="P92" s="33">
        <f t="shared" si="9"/>
        <v>1</v>
      </c>
    </row>
    <row r="93" spans="1:16" ht="16" x14ac:dyDescent="0.2">
      <c r="A93" t="s">
        <v>246</v>
      </c>
      <c r="B93" s="27">
        <v>19</v>
      </c>
      <c r="C93" s="33">
        <v>1</v>
      </c>
      <c r="D93" s="28">
        <v>2</v>
      </c>
      <c r="E93" s="28">
        <v>2</v>
      </c>
      <c r="F93" t="s">
        <v>86</v>
      </c>
      <c r="G93" t="str" cm="1">
        <f t="array" ref="G93">_xlfn.IFS(OR(F93="Accounting", F93="BIA", F93="Business Analytics", F93="Business Information &amp; Analytics", F93="Business undecided", F93="Finance", F93="Finance &amp; Accounting", F93="Hospitality Management", F93="Hospitality Mgmt", F93="Hospitality management", F93="Interational Business", F93="International Business", F93="Management", F93="Marketing", F93="Real Estate"), "Daniels College of Business", OR(F93="Biology", F93="Chemistry", F93="Integrated Sciences", F93="Molecular Biology", F93="Molecular biology", F93="Physiology", F93="Physiology in health and disease", F93="Math"), "Natural Sciences &amp; Mathematics", OR(F93="Computer Science", F93="Mechanical engineering"), "Engineering &amp; Computer Science", OR(F93="Anthropology", F93="Communication and Media", F93="Communciations", F93="Economics", F93="Economics and Sociology", F93="Emergent Digital Practices", F93="Environmental Science", F93="Environmental science", F93="Gender studies", F93="International Studies", F93="International studies", F93="Journalism and Finance", F93="Journalism and International Studies", F93="Political Science", F93="Psychology", F93="Psychology &amp; Economics", F93="Psychology, French", F93="Psych &amp; spanish", F93="Psych and Spanish", F93="Public policy"), "Arts, Humanities &amp; Social Sciences", OR(F93="Ecology and Biodiversity", F93="Ecology and biodiversity"), "Natural Resources &amp; Sustainability")</f>
        <v>Engineering &amp; Computer Science</v>
      </c>
      <c r="H93" s="41">
        <f t="shared" si="10"/>
        <v>3</v>
      </c>
      <c r="I93" s="33">
        <v>5</v>
      </c>
      <c r="J93" t="s">
        <v>60</v>
      </c>
      <c r="K93" s="43">
        <f t="shared" si="11"/>
        <v>4</v>
      </c>
      <c r="L93" t="s">
        <v>62</v>
      </c>
      <c r="M93" s="27">
        <f t="shared" si="8"/>
        <v>3</v>
      </c>
      <c r="N93" s="33">
        <v>1</v>
      </c>
      <c r="O93" t="s">
        <v>63</v>
      </c>
      <c r="P93" s="33">
        <f t="shared" si="9"/>
        <v>1</v>
      </c>
    </row>
    <row r="94" spans="1:16" ht="16" x14ac:dyDescent="0.2">
      <c r="A94" t="s">
        <v>247</v>
      </c>
      <c r="B94" s="27">
        <v>20</v>
      </c>
      <c r="C94" s="33">
        <v>1</v>
      </c>
      <c r="D94" s="28">
        <v>1</v>
      </c>
      <c r="E94" s="28">
        <v>2</v>
      </c>
      <c r="F94" t="s">
        <v>223</v>
      </c>
      <c r="G94" t="str" cm="1">
        <f t="array" ref="G94">_xlfn.IFS(OR(F94="Accounting", F94="BIA", F94="Business Analytics", F94="Business Information &amp; Analytics", F94="Business undecided", F94="Finance", F94="Finance &amp; Accounting", F94="Hospitality Management", F94="Hospitality Mgmt", F94="Hospitality management", F94="Interational Business", F94="International Business", F94="Management", F94="Marketing", F94="Real Estate"), "Daniels College of Business", OR(F94="Biology", F94="Chemistry", F94="Integrated Sciences", F94="Molecular Biology", F94="Molecular biology", F94="Physiology", F94="Physiology in health and disease", F94="Math"), "Natural Sciences &amp; Mathematics", OR(F94="Computer Science", F94="Mechanical engineering"), "Engineering &amp; Computer Science", OR(F94="Anthropology", F94="Communication and Media", F94="Communciations", F94="Economics", F94="Economics and Sociology", F94="Emergent Digital Practices", F94="Environmental Science", F94="Environmental science", F94="Gender studies", F94="International Studies", F94="International studies", F94="Journalism and Finance", F94="Journalism and International Studies", F94="Political Science", F94="Psychology", F94="Psychology &amp; Economics", F94="Psychology, French", F94="Psych &amp; spanish", F94="Psych and Spanish", F94="Public policy"), "Arts, Humanities &amp; Social Sciences", OR(F94="Ecology and Biodiversity", F94="Ecology and biodiversity"), "Natural Resources &amp; Sustainability")</f>
        <v>Arts, Humanities &amp; Social Sciences</v>
      </c>
      <c r="H94" s="41">
        <f>IF(G94="Daniels College of Business", 1,
 IF(G94="Arts, Humanities &amp; Social Sciences", 2,
 IF(G94="Engineering &amp; Computer Science", 3,
 IF(G94="Natural Sciences &amp; Mathematics", 4,
 IF(G94="Korbel School of International Studies", 5, "")))))</f>
        <v>2</v>
      </c>
      <c r="I94" s="33">
        <v>3</v>
      </c>
      <c r="J94" t="s">
        <v>67</v>
      </c>
      <c r="K94" s="43">
        <f t="shared" si="11"/>
        <v>3</v>
      </c>
      <c r="L94" t="s">
        <v>63</v>
      </c>
      <c r="M94" s="27">
        <f t="shared" si="8"/>
        <v>1</v>
      </c>
      <c r="N94" s="33">
        <v>1</v>
      </c>
      <c r="O94" t="s">
        <v>63</v>
      </c>
      <c r="P94" s="33">
        <f t="shared" si="9"/>
        <v>1</v>
      </c>
    </row>
    <row r="95" spans="1:16" ht="16" x14ac:dyDescent="0.2">
      <c r="B95" s="27">
        <v>21</v>
      </c>
      <c r="C95" s="33">
        <v>1</v>
      </c>
      <c r="D95" s="28">
        <v>1</v>
      </c>
      <c r="E95" s="28">
        <v>3</v>
      </c>
      <c r="F95" t="s">
        <v>273</v>
      </c>
      <c r="G95" t="s">
        <v>250</v>
      </c>
      <c r="H95" s="41">
        <f t="shared" ref="H95:H106" si="12">IF(G95="Daniels College of Business", 1,
 IF(G95="Arts, Humanities &amp; Social Sciences", 2,
 IF(G95="Engineering &amp; Computer Science", 3,
 IF(G95="Natural Sciences &amp; Mathematics", 4,
 IF(G95="Korbel School of International Studies", 5, "")))))</f>
        <v>2</v>
      </c>
      <c r="I95" s="33">
        <v>1</v>
      </c>
      <c r="J95" t="s">
        <v>77</v>
      </c>
      <c r="K95" s="33">
        <v>2</v>
      </c>
      <c r="L95" t="s">
        <v>63</v>
      </c>
      <c r="M95" s="27">
        <f t="shared" ref="M95:M106" si="13">IF(L95="Not at all", 1,
 IF(L95="Slightly", 2,
 IF(L95="Very much", 3,
 IF(L95="Extremely", 4, ""))))</f>
        <v>1</v>
      </c>
      <c r="N95" s="33">
        <v>2</v>
      </c>
      <c r="O95" t="s">
        <v>68</v>
      </c>
      <c r="P95" s="33">
        <f t="shared" ref="P95:P106" si="14">IF(O95="Not at all", 1,
 IF(O95="Slightly", 2,
 IF(O95="Very much", 3,
 IF(O95="Extremely", 4, ""))))</f>
        <v>2</v>
      </c>
    </row>
    <row r="96" spans="1:16" ht="16" x14ac:dyDescent="0.2">
      <c r="B96" s="27">
        <v>20</v>
      </c>
      <c r="C96" s="33">
        <v>2</v>
      </c>
      <c r="D96" s="28">
        <v>1</v>
      </c>
      <c r="E96" s="28">
        <v>2</v>
      </c>
      <c r="F96" t="s">
        <v>274</v>
      </c>
      <c r="G96" t="s">
        <v>144</v>
      </c>
      <c r="H96" s="41">
        <f t="shared" si="12"/>
        <v>5</v>
      </c>
      <c r="I96" s="33">
        <v>3</v>
      </c>
      <c r="J96" t="s">
        <v>67</v>
      </c>
      <c r="K96" s="33">
        <v>3</v>
      </c>
      <c r="L96" t="s">
        <v>68</v>
      </c>
      <c r="M96" s="27">
        <f t="shared" si="13"/>
        <v>2</v>
      </c>
      <c r="N96" s="33">
        <v>2</v>
      </c>
      <c r="O96" t="s">
        <v>68</v>
      </c>
      <c r="P96" s="33">
        <f t="shared" si="14"/>
        <v>2</v>
      </c>
    </row>
    <row r="97" spans="2:16" ht="16" x14ac:dyDescent="0.2">
      <c r="B97" s="27">
        <v>21</v>
      </c>
      <c r="C97" s="33">
        <v>1</v>
      </c>
      <c r="D97" s="28">
        <v>1</v>
      </c>
      <c r="E97" s="28">
        <v>3</v>
      </c>
      <c r="F97" t="s">
        <v>275</v>
      </c>
      <c r="G97" t="s">
        <v>144</v>
      </c>
      <c r="H97" s="41">
        <f t="shared" si="12"/>
        <v>5</v>
      </c>
      <c r="I97" s="33">
        <v>4</v>
      </c>
      <c r="J97" t="s">
        <v>60</v>
      </c>
      <c r="K97" s="44">
        <v>4</v>
      </c>
      <c r="L97" t="s">
        <v>62</v>
      </c>
      <c r="M97" s="27">
        <f t="shared" si="13"/>
        <v>3</v>
      </c>
      <c r="N97" s="33">
        <v>4</v>
      </c>
      <c r="O97" t="s">
        <v>101</v>
      </c>
      <c r="P97" s="33">
        <f t="shared" si="14"/>
        <v>3</v>
      </c>
    </row>
    <row r="98" spans="2:16" ht="16" x14ac:dyDescent="0.2">
      <c r="B98" s="27">
        <v>19</v>
      </c>
      <c r="C98" s="33">
        <v>1</v>
      </c>
      <c r="D98" s="28">
        <v>2</v>
      </c>
      <c r="E98" s="28">
        <v>1</v>
      </c>
      <c r="F98" t="s">
        <v>274</v>
      </c>
      <c r="G98" t="s">
        <v>144</v>
      </c>
      <c r="H98" s="41">
        <f t="shared" si="12"/>
        <v>5</v>
      </c>
      <c r="I98" s="33">
        <v>2</v>
      </c>
      <c r="J98" t="s">
        <v>77</v>
      </c>
      <c r="K98" s="33">
        <v>2</v>
      </c>
      <c r="L98" t="s">
        <v>107</v>
      </c>
      <c r="M98" s="27">
        <f t="shared" si="13"/>
        <v>4</v>
      </c>
      <c r="N98" s="33">
        <v>4</v>
      </c>
      <c r="O98" t="s">
        <v>101</v>
      </c>
      <c r="P98" s="33">
        <f t="shared" si="14"/>
        <v>3</v>
      </c>
    </row>
    <row r="99" spans="2:16" ht="16" x14ac:dyDescent="0.2">
      <c r="B99" s="27">
        <v>20</v>
      </c>
      <c r="C99" s="33">
        <v>2</v>
      </c>
      <c r="D99" s="28">
        <v>1</v>
      </c>
      <c r="E99" s="28">
        <v>2</v>
      </c>
      <c r="F99" t="s">
        <v>276</v>
      </c>
      <c r="G99" t="s">
        <v>144</v>
      </c>
      <c r="H99" s="41">
        <f t="shared" si="12"/>
        <v>5</v>
      </c>
      <c r="I99" s="33">
        <v>1</v>
      </c>
      <c r="J99" t="s">
        <v>119</v>
      </c>
      <c r="K99" s="33">
        <v>1</v>
      </c>
      <c r="L99" t="s">
        <v>62</v>
      </c>
      <c r="M99" s="27">
        <f t="shared" si="13"/>
        <v>3</v>
      </c>
      <c r="N99" s="33">
        <v>3</v>
      </c>
      <c r="O99" t="s">
        <v>107</v>
      </c>
      <c r="P99" s="33">
        <f t="shared" si="14"/>
        <v>4</v>
      </c>
    </row>
    <row r="100" spans="2:16" ht="16" x14ac:dyDescent="0.2">
      <c r="B100" s="27">
        <v>21</v>
      </c>
      <c r="C100" s="33">
        <v>1</v>
      </c>
      <c r="D100" s="28">
        <v>1</v>
      </c>
      <c r="E100" s="28">
        <v>3</v>
      </c>
      <c r="F100" t="s">
        <v>277</v>
      </c>
      <c r="G100" t="s">
        <v>144</v>
      </c>
      <c r="H100" s="41">
        <f t="shared" si="12"/>
        <v>5</v>
      </c>
      <c r="I100" s="33">
        <v>3</v>
      </c>
      <c r="J100" t="s">
        <v>119</v>
      </c>
      <c r="K100" s="33">
        <v>1</v>
      </c>
      <c r="L100" t="s">
        <v>68</v>
      </c>
      <c r="M100" s="27">
        <f t="shared" si="13"/>
        <v>2</v>
      </c>
      <c r="N100" s="33">
        <v>1</v>
      </c>
      <c r="O100" t="s">
        <v>63</v>
      </c>
      <c r="P100" s="33">
        <f t="shared" si="14"/>
        <v>1</v>
      </c>
    </row>
    <row r="101" spans="2:16" ht="16" x14ac:dyDescent="0.2">
      <c r="B101" s="27">
        <v>22</v>
      </c>
      <c r="C101" s="33">
        <v>1</v>
      </c>
      <c r="D101" s="28">
        <v>1</v>
      </c>
      <c r="E101" s="28">
        <v>4</v>
      </c>
      <c r="F101" t="s">
        <v>278</v>
      </c>
      <c r="G101" t="s">
        <v>251</v>
      </c>
      <c r="H101" s="41">
        <f t="shared" si="12"/>
        <v>3</v>
      </c>
      <c r="I101" s="33">
        <v>2</v>
      </c>
      <c r="J101" t="s">
        <v>67</v>
      </c>
      <c r="K101" s="33">
        <v>3</v>
      </c>
      <c r="L101" t="s">
        <v>62</v>
      </c>
      <c r="M101" s="27">
        <f t="shared" si="13"/>
        <v>3</v>
      </c>
      <c r="N101" s="33">
        <v>2</v>
      </c>
      <c r="O101" t="s">
        <v>63</v>
      </c>
      <c r="P101" s="33">
        <f t="shared" si="14"/>
        <v>1</v>
      </c>
    </row>
    <row r="102" spans="2:16" ht="16" x14ac:dyDescent="0.2">
      <c r="B102" s="27">
        <v>21</v>
      </c>
      <c r="C102" s="33">
        <v>2</v>
      </c>
      <c r="D102" s="28">
        <v>1</v>
      </c>
      <c r="E102" s="28">
        <v>3</v>
      </c>
      <c r="F102" t="s">
        <v>277</v>
      </c>
      <c r="G102" t="s">
        <v>144</v>
      </c>
      <c r="H102" s="41">
        <f t="shared" si="12"/>
        <v>5</v>
      </c>
      <c r="I102" s="33">
        <v>2</v>
      </c>
      <c r="J102" t="s">
        <v>67</v>
      </c>
      <c r="K102" s="33">
        <v>3</v>
      </c>
      <c r="L102" t="s">
        <v>62</v>
      </c>
      <c r="M102" s="27">
        <f t="shared" si="13"/>
        <v>3</v>
      </c>
      <c r="N102" s="33">
        <v>2</v>
      </c>
      <c r="O102" t="s">
        <v>63</v>
      </c>
      <c r="P102" s="33">
        <f t="shared" si="14"/>
        <v>1</v>
      </c>
    </row>
    <row r="103" spans="2:16" ht="16" x14ac:dyDescent="0.2">
      <c r="B103" s="27">
        <v>19</v>
      </c>
      <c r="C103" s="33">
        <v>2</v>
      </c>
      <c r="D103" s="28">
        <v>1</v>
      </c>
      <c r="E103" s="28">
        <v>1</v>
      </c>
      <c r="F103" t="s">
        <v>277</v>
      </c>
      <c r="G103" t="s">
        <v>144</v>
      </c>
      <c r="H103" s="41">
        <f t="shared" si="12"/>
        <v>5</v>
      </c>
      <c r="I103" s="38">
        <v>1</v>
      </c>
      <c r="J103" t="s">
        <v>60</v>
      </c>
      <c r="K103" s="33">
        <v>4</v>
      </c>
      <c r="L103" t="s">
        <v>107</v>
      </c>
      <c r="M103" s="27">
        <f t="shared" si="13"/>
        <v>4</v>
      </c>
      <c r="N103" s="33">
        <v>3</v>
      </c>
      <c r="O103" t="s">
        <v>68</v>
      </c>
      <c r="P103" s="33">
        <f t="shared" si="14"/>
        <v>2</v>
      </c>
    </row>
    <row r="104" spans="2:16" ht="16" x14ac:dyDescent="0.2">
      <c r="B104" s="27">
        <v>20</v>
      </c>
      <c r="C104" s="33">
        <v>1</v>
      </c>
      <c r="D104" s="28">
        <v>1</v>
      </c>
      <c r="E104" s="28">
        <v>2</v>
      </c>
      <c r="F104" t="s">
        <v>279</v>
      </c>
      <c r="G104" t="s">
        <v>144</v>
      </c>
      <c r="H104" s="41">
        <f t="shared" si="12"/>
        <v>5</v>
      </c>
      <c r="I104" s="33">
        <v>4</v>
      </c>
      <c r="J104" t="s">
        <v>60</v>
      </c>
      <c r="K104" s="33">
        <v>4</v>
      </c>
      <c r="L104" t="s">
        <v>107</v>
      </c>
      <c r="M104" s="27">
        <f t="shared" si="13"/>
        <v>4</v>
      </c>
      <c r="N104" s="33">
        <v>3</v>
      </c>
      <c r="O104" t="s">
        <v>68</v>
      </c>
      <c r="P104" s="33">
        <f t="shared" si="14"/>
        <v>2</v>
      </c>
    </row>
    <row r="105" spans="2:16" ht="16" x14ac:dyDescent="0.2">
      <c r="B105" s="27">
        <v>21</v>
      </c>
      <c r="C105" s="33">
        <v>2</v>
      </c>
      <c r="D105" s="28">
        <v>1</v>
      </c>
      <c r="E105" s="28">
        <v>3</v>
      </c>
      <c r="F105" t="s">
        <v>279</v>
      </c>
      <c r="G105" t="s">
        <v>144</v>
      </c>
      <c r="H105" s="41">
        <f t="shared" si="12"/>
        <v>5</v>
      </c>
      <c r="I105" s="33">
        <v>5</v>
      </c>
      <c r="J105" t="s">
        <v>77</v>
      </c>
      <c r="K105" s="33">
        <v>2</v>
      </c>
      <c r="L105" t="s">
        <v>68</v>
      </c>
      <c r="M105" s="27">
        <f t="shared" si="13"/>
        <v>2</v>
      </c>
      <c r="N105" s="33">
        <v>1</v>
      </c>
      <c r="O105" t="s">
        <v>63</v>
      </c>
      <c r="P105" s="33">
        <f t="shared" si="14"/>
        <v>1</v>
      </c>
    </row>
    <row r="106" spans="2:16" ht="16" x14ac:dyDescent="0.2">
      <c r="B106" s="30">
        <v>21</v>
      </c>
      <c r="C106" s="34">
        <v>2</v>
      </c>
      <c r="D106" s="31">
        <v>1</v>
      </c>
      <c r="E106" s="31">
        <v>3</v>
      </c>
      <c r="F106" t="s">
        <v>280</v>
      </c>
      <c r="G106" t="s">
        <v>144</v>
      </c>
      <c r="H106" s="42">
        <f t="shared" si="12"/>
        <v>5</v>
      </c>
      <c r="I106" s="34">
        <v>4</v>
      </c>
      <c r="J106" t="s">
        <v>119</v>
      </c>
      <c r="K106" s="34">
        <v>1</v>
      </c>
      <c r="L106" t="s">
        <v>63</v>
      </c>
      <c r="M106" s="30">
        <f t="shared" si="13"/>
        <v>1</v>
      </c>
      <c r="N106" s="34">
        <v>1</v>
      </c>
      <c r="O106" t="s">
        <v>63</v>
      </c>
      <c r="P106" s="34">
        <f t="shared" si="14"/>
        <v>1</v>
      </c>
    </row>
    <row r="107" spans="2:16" ht="16" x14ac:dyDescent="0.2">
      <c r="H107" s="2"/>
    </row>
    <row r="108" spans="2:16" ht="16" x14ac:dyDescent="0.2">
      <c r="G108" t="s">
        <v>281</v>
      </c>
      <c r="H108" s="2"/>
    </row>
    <row r="109" spans="2:16" ht="16" x14ac:dyDescent="0.2">
      <c r="G109" t="s">
        <v>91</v>
      </c>
      <c r="H109" s="2">
        <f>COUNTIF(G3:G106, "Daniels College of Business")</f>
        <v>20</v>
      </c>
    </row>
    <row r="110" spans="2:16" ht="16" x14ac:dyDescent="0.2">
      <c r="G110" t="s">
        <v>114</v>
      </c>
      <c r="H110" s="2">
        <f>COUNTIF(G4:G108, "Natural Sciences &amp; Mathematics")</f>
        <v>20</v>
      </c>
    </row>
    <row r="111" spans="2:16" ht="16" x14ac:dyDescent="0.2">
      <c r="G111" t="s">
        <v>266</v>
      </c>
      <c r="H111" s="2">
        <f>COUNTIF(G5:G109, "Arts, Humanities &amp; Social Sciences")</f>
        <v>20</v>
      </c>
    </row>
    <row r="112" spans="2:16" ht="16" x14ac:dyDescent="0.2">
      <c r="G112" t="s">
        <v>144</v>
      </c>
      <c r="H112" s="2">
        <f>COUNTIF(G6:G110, "Korbel School of International Studies")</f>
        <v>20</v>
      </c>
    </row>
    <row r="113" spans="7:8" ht="16" x14ac:dyDescent="0.2">
      <c r="G113" t="s">
        <v>251</v>
      </c>
      <c r="H113" s="2">
        <f>COUNTIF(G7:G111, "Engineering &amp; Computer Science")</f>
        <v>20</v>
      </c>
    </row>
    <row r="114" spans="7:8" ht="16" x14ac:dyDescent="0.2"/>
    <row r="115" spans="7:8" ht="15.75" customHeight="1" x14ac:dyDescent="0.2">
      <c r="H115">
        <f>SUM(H109:H113)</f>
        <v>100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Claunch Consulting Conglomerate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Claunch</dc:creator>
  <cp:keywords/>
  <dc:description/>
  <cp:lastModifiedBy>Alex Claunch</cp:lastModifiedBy>
  <cp:revision/>
  <dcterms:created xsi:type="dcterms:W3CDTF">2025-05-27T22:04:18Z</dcterms:created>
  <dcterms:modified xsi:type="dcterms:W3CDTF">2025-05-28T04:56:42Z</dcterms:modified>
  <cp:category/>
  <cp:contentStatus/>
</cp:coreProperties>
</file>