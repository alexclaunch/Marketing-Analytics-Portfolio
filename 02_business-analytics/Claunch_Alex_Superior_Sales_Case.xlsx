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claunch/Downloads/"/>
    </mc:Choice>
  </mc:AlternateContent>
  <xr:revisionPtr revIDLastSave="0" documentId="8_{40D54A38-4576-BD48-9DFA-002B38774665}" xr6:coauthVersionLast="47" xr6:coauthVersionMax="47" xr10:uidLastSave="{00000000-0000-0000-0000-000000000000}"/>
  <bookViews>
    <workbookView xWindow="460" yWindow="1160" windowWidth="26500" windowHeight="16700" activeTab="2" xr2:uid="{00000000-000D-0000-FFFF-FFFF00000000}"/>
  </bookViews>
  <sheets>
    <sheet name="County-wide Sales" sheetId="4" r:id="rId1"/>
    <sheet name="Superior Store Sales" sheetId="1" r:id="rId2"/>
    <sheet name="Resullt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4" l="1"/>
  <c r="P56" i="4"/>
  <c r="N2" i="5"/>
  <c r="D2" i="5"/>
  <c r="O2" i="5"/>
  <c r="N3" i="5"/>
  <c r="O3" i="5"/>
  <c r="N4" i="5"/>
  <c r="O4" i="5"/>
  <c r="N5" i="5"/>
  <c r="O5" i="5"/>
  <c r="I6" i="5"/>
  <c r="J6" i="5"/>
  <c r="K6" i="5"/>
  <c r="L6" i="5"/>
  <c r="M6" i="5"/>
  <c r="N6" i="5"/>
  <c r="O6" i="5"/>
  <c r="T59" i="1"/>
  <c r="T58" i="1"/>
  <c r="T57" i="1"/>
  <c r="S2" i="1"/>
  <c r="T2" i="1"/>
  <c r="U2" i="1"/>
  <c r="V2" i="1"/>
  <c r="S3" i="1"/>
  <c r="T3" i="1"/>
  <c r="U3" i="1"/>
  <c r="V3" i="1"/>
  <c r="S4" i="1"/>
  <c r="T4" i="1"/>
  <c r="U4" i="1"/>
  <c r="V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S51" i="1"/>
  <c r="T51" i="1"/>
  <c r="U51" i="1"/>
  <c r="S52" i="1"/>
  <c r="T52" i="1"/>
  <c r="U52" i="1"/>
  <c r="S53" i="1"/>
  <c r="T53" i="1"/>
  <c r="U53" i="1"/>
  <c r="P54" i="1"/>
  <c r="L72" i="4"/>
  <c r="R5" i="4"/>
  <c r="AA5" i="4" s="1"/>
  <c r="R6" i="4"/>
  <c r="AA6" i="4" s="1"/>
  <c r="R7" i="4"/>
  <c r="AA7" i="4" s="1"/>
  <c r="R8" i="4"/>
  <c r="AA8" i="4" s="1"/>
  <c r="R9" i="4"/>
  <c r="AA9" i="4" s="1"/>
  <c r="R10" i="4"/>
  <c r="AA10" i="4" s="1"/>
  <c r="R11" i="4"/>
  <c r="AA11" i="4" s="1"/>
  <c r="R12" i="4"/>
  <c r="AA12" i="4" s="1"/>
  <c r="R13" i="4"/>
  <c r="AA13" i="4" s="1"/>
  <c r="R14" i="4"/>
  <c r="AA14" i="4" s="1"/>
  <c r="R15" i="4"/>
  <c r="AA15" i="4" s="1"/>
  <c r="R16" i="4"/>
  <c r="AA16" i="4" s="1"/>
  <c r="R17" i="4"/>
  <c r="AA17" i="4" s="1"/>
  <c r="R18" i="4"/>
  <c r="AA18" i="4" s="1"/>
  <c r="R19" i="4"/>
  <c r="AA19" i="4" s="1"/>
  <c r="R20" i="4"/>
  <c r="AA20" i="4" s="1"/>
  <c r="R21" i="4"/>
  <c r="AA21" i="4" s="1"/>
  <c r="R22" i="4"/>
  <c r="AA22" i="4" s="1"/>
  <c r="R23" i="4"/>
  <c r="AA23" i="4" s="1"/>
  <c r="R24" i="4"/>
  <c r="AA24" i="4" s="1"/>
  <c r="R25" i="4"/>
  <c r="AA25" i="4" s="1"/>
  <c r="R26" i="4"/>
  <c r="AA26" i="4" s="1"/>
  <c r="R27" i="4"/>
  <c r="AA27" i="4" s="1"/>
  <c r="R28" i="4"/>
  <c r="AA28" i="4" s="1"/>
  <c r="R29" i="4"/>
  <c r="AA29" i="4" s="1"/>
  <c r="R30" i="4"/>
  <c r="AA30" i="4" s="1"/>
  <c r="R31" i="4"/>
  <c r="AA31" i="4" s="1"/>
  <c r="R32" i="4"/>
  <c r="AA32" i="4" s="1"/>
  <c r="R33" i="4"/>
  <c r="AA33" i="4" s="1"/>
  <c r="R34" i="4"/>
  <c r="AA34" i="4" s="1"/>
  <c r="R35" i="4"/>
  <c r="AA35" i="4" s="1"/>
  <c r="R36" i="4"/>
  <c r="AA36" i="4" s="1"/>
  <c r="R37" i="4"/>
  <c r="AA37" i="4" s="1"/>
  <c r="R38" i="4"/>
  <c r="AA38" i="4" s="1"/>
  <c r="R39" i="4"/>
  <c r="AA39" i="4" s="1"/>
  <c r="R40" i="4"/>
  <c r="AA40" i="4" s="1"/>
  <c r="R41" i="4"/>
  <c r="AA41" i="4" s="1"/>
  <c r="R42" i="4"/>
  <c r="AA42" i="4" s="1"/>
  <c r="R43" i="4"/>
  <c r="AA43" i="4" s="1"/>
  <c r="R44" i="4"/>
  <c r="AA44" i="4" s="1"/>
  <c r="R45" i="4"/>
  <c r="AA45" i="4" s="1"/>
  <c r="R46" i="4"/>
  <c r="AA46" i="4" s="1"/>
  <c r="R47" i="4"/>
  <c r="AA47" i="4" s="1"/>
  <c r="R48" i="4"/>
  <c r="AA48" i="4" s="1"/>
  <c r="R49" i="4"/>
  <c r="AA49" i="4" s="1"/>
  <c r="R50" i="4"/>
  <c r="AA50" i="4" s="1"/>
  <c r="R51" i="4"/>
  <c r="AA51" i="4" s="1"/>
  <c r="R52" i="4"/>
  <c r="AA52" i="4" s="1"/>
  <c r="R53" i="4"/>
  <c r="AA53" i="4" s="1"/>
  <c r="R54" i="4"/>
  <c r="AA54" i="4" s="1"/>
  <c r="R4" i="4"/>
  <c r="AA4" i="4" s="1"/>
  <c r="Q8" i="4"/>
  <c r="W8" i="4" s="1"/>
  <c r="Q9" i="4"/>
  <c r="W9" i="4" s="1"/>
  <c r="Q10" i="4"/>
  <c r="W10" i="4" s="1"/>
  <c r="Q11" i="4"/>
  <c r="W11" i="4" s="1"/>
  <c r="Q12" i="4"/>
  <c r="W12" i="4" s="1"/>
  <c r="Q13" i="4"/>
  <c r="W13" i="4" s="1"/>
  <c r="Q14" i="4"/>
  <c r="W14" i="4" s="1"/>
  <c r="Q15" i="4"/>
  <c r="W15" i="4" s="1"/>
  <c r="Q16" i="4"/>
  <c r="W16" i="4" s="1"/>
  <c r="Q17" i="4"/>
  <c r="W17" i="4" s="1"/>
  <c r="Q18" i="4"/>
  <c r="W18" i="4" s="1"/>
  <c r="Q19" i="4"/>
  <c r="W19" i="4" s="1"/>
  <c r="Q20" i="4"/>
  <c r="W20" i="4" s="1"/>
  <c r="Q21" i="4"/>
  <c r="W21" i="4" s="1"/>
  <c r="Q22" i="4"/>
  <c r="W22" i="4" s="1"/>
  <c r="Q23" i="4"/>
  <c r="W23" i="4" s="1"/>
  <c r="Q24" i="4"/>
  <c r="W24" i="4" s="1"/>
  <c r="Q25" i="4"/>
  <c r="W25" i="4" s="1"/>
  <c r="Q26" i="4"/>
  <c r="W26" i="4" s="1"/>
  <c r="Q27" i="4"/>
  <c r="W27" i="4" s="1"/>
  <c r="Q28" i="4"/>
  <c r="W28" i="4" s="1"/>
  <c r="Q29" i="4"/>
  <c r="W29" i="4" s="1"/>
  <c r="Q30" i="4"/>
  <c r="W30" i="4" s="1"/>
  <c r="Q31" i="4"/>
  <c r="W31" i="4" s="1"/>
  <c r="Q32" i="4"/>
  <c r="W32" i="4" s="1"/>
  <c r="Q33" i="4"/>
  <c r="W33" i="4" s="1"/>
  <c r="Q34" i="4"/>
  <c r="W34" i="4" s="1"/>
  <c r="Q35" i="4"/>
  <c r="W35" i="4" s="1"/>
  <c r="Q36" i="4"/>
  <c r="W36" i="4" s="1"/>
  <c r="Q37" i="4"/>
  <c r="W37" i="4" s="1"/>
  <c r="Q38" i="4"/>
  <c r="W38" i="4" s="1"/>
  <c r="Q39" i="4"/>
  <c r="W39" i="4" s="1"/>
  <c r="Q40" i="4"/>
  <c r="W40" i="4" s="1"/>
  <c r="Q41" i="4"/>
  <c r="W41" i="4" s="1"/>
  <c r="Q42" i="4"/>
  <c r="W42" i="4" s="1"/>
  <c r="Q43" i="4"/>
  <c r="W43" i="4" s="1"/>
  <c r="Q44" i="4"/>
  <c r="W44" i="4" s="1"/>
  <c r="Q45" i="4"/>
  <c r="W45" i="4" s="1"/>
  <c r="Q46" i="4"/>
  <c r="W46" i="4" s="1"/>
  <c r="Q47" i="4"/>
  <c r="W47" i="4" s="1"/>
  <c r="Q48" i="4"/>
  <c r="W48" i="4" s="1"/>
  <c r="Q49" i="4"/>
  <c r="W49" i="4" s="1"/>
  <c r="Q50" i="4"/>
  <c r="W50" i="4" s="1"/>
  <c r="Q51" i="4"/>
  <c r="W51" i="4" s="1"/>
  <c r="Q52" i="4"/>
  <c r="W52" i="4" s="1"/>
  <c r="Q53" i="4"/>
  <c r="W53" i="4" s="1"/>
  <c r="Q54" i="4"/>
  <c r="W54" i="4" s="1"/>
  <c r="Q7" i="4"/>
  <c r="W7" i="4" s="1"/>
  <c r="D4" i="4"/>
  <c r="E4" i="4"/>
  <c r="F4" i="4"/>
  <c r="G4" i="4"/>
  <c r="H4" i="4"/>
  <c r="I4" i="4"/>
  <c r="J4" i="4"/>
  <c r="K4" i="4"/>
  <c r="L4" i="4"/>
  <c r="M4" i="4"/>
  <c r="N4" i="4"/>
  <c r="D5" i="4"/>
  <c r="E5" i="4"/>
  <c r="F5" i="4"/>
  <c r="G5" i="4"/>
  <c r="H5" i="4"/>
  <c r="I5" i="4"/>
  <c r="J5" i="4"/>
  <c r="K5" i="4"/>
  <c r="L5" i="4"/>
  <c r="M5" i="4"/>
  <c r="N5" i="4"/>
  <c r="D6" i="4"/>
  <c r="E6" i="4"/>
  <c r="F6" i="4"/>
  <c r="G6" i="4"/>
  <c r="H6" i="4"/>
  <c r="I6" i="4"/>
  <c r="J6" i="4"/>
  <c r="K6" i="4"/>
  <c r="L6" i="4"/>
  <c r="M6" i="4"/>
  <c r="N6" i="4"/>
  <c r="D7" i="4"/>
  <c r="E7" i="4"/>
  <c r="F7" i="4"/>
  <c r="G7" i="4"/>
  <c r="H7" i="4"/>
  <c r="I7" i="4"/>
  <c r="J7" i="4"/>
  <c r="K7" i="4"/>
  <c r="L7" i="4"/>
  <c r="M7" i="4"/>
  <c r="N7" i="4"/>
  <c r="D8" i="4"/>
  <c r="E8" i="4"/>
  <c r="F8" i="4"/>
  <c r="G8" i="4"/>
  <c r="H8" i="4"/>
  <c r="I8" i="4"/>
  <c r="J8" i="4"/>
  <c r="K8" i="4"/>
  <c r="L8" i="4"/>
  <c r="M8" i="4"/>
  <c r="N8" i="4"/>
  <c r="D9" i="4"/>
  <c r="E9" i="4"/>
  <c r="F9" i="4"/>
  <c r="G9" i="4"/>
  <c r="H9" i="4"/>
  <c r="I9" i="4"/>
  <c r="J9" i="4"/>
  <c r="K9" i="4"/>
  <c r="L9" i="4"/>
  <c r="M9" i="4"/>
  <c r="N9" i="4"/>
  <c r="D10" i="4"/>
  <c r="E10" i="4"/>
  <c r="F10" i="4"/>
  <c r="G10" i="4"/>
  <c r="H10" i="4"/>
  <c r="I10" i="4"/>
  <c r="J10" i="4"/>
  <c r="K10" i="4"/>
  <c r="L10" i="4"/>
  <c r="M10" i="4"/>
  <c r="N10" i="4"/>
  <c r="D11" i="4"/>
  <c r="E11" i="4"/>
  <c r="F11" i="4"/>
  <c r="G11" i="4"/>
  <c r="H11" i="4"/>
  <c r="I11" i="4"/>
  <c r="J11" i="4"/>
  <c r="K11" i="4"/>
  <c r="L11" i="4"/>
  <c r="M11" i="4"/>
  <c r="N11" i="4"/>
  <c r="D12" i="4"/>
  <c r="E12" i="4"/>
  <c r="F12" i="4"/>
  <c r="G12" i="4"/>
  <c r="H12" i="4"/>
  <c r="I12" i="4"/>
  <c r="J12" i="4"/>
  <c r="K12" i="4"/>
  <c r="L12" i="4"/>
  <c r="M12" i="4"/>
  <c r="N12" i="4"/>
  <c r="D13" i="4"/>
  <c r="E13" i="4"/>
  <c r="F13" i="4"/>
  <c r="G13" i="4"/>
  <c r="H13" i="4"/>
  <c r="I13" i="4"/>
  <c r="J13" i="4"/>
  <c r="K13" i="4"/>
  <c r="L13" i="4"/>
  <c r="M13" i="4"/>
  <c r="N13" i="4"/>
  <c r="D14" i="4"/>
  <c r="E14" i="4"/>
  <c r="F14" i="4"/>
  <c r="G14" i="4"/>
  <c r="H14" i="4"/>
  <c r="I14" i="4"/>
  <c r="J14" i="4"/>
  <c r="K14" i="4"/>
  <c r="L14" i="4"/>
  <c r="M14" i="4"/>
  <c r="N14" i="4"/>
  <c r="D15" i="4"/>
  <c r="E15" i="4"/>
  <c r="F15" i="4"/>
  <c r="G15" i="4"/>
  <c r="H15" i="4"/>
  <c r="I15" i="4"/>
  <c r="J15" i="4"/>
  <c r="K15" i="4"/>
  <c r="L15" i="4"/>
  <c r="M15" i="4"/>
  <c r="N15" i="4"/>
  <c r="D16" i="4"/>
  <c r="E16" i="4"/>
  <c r="F16" i="4"/>
  <c r="G16" i="4"/>
  <c r="H16" i="4"/>
  <c r="I16" i="4"/>
  <c r="J16" i="4"/>
  <c r="K16" i="4"/>
  <c r="L16" i="4"/>
  <c r="M16" i="4"/>
  <c r="N16" i="4"/>
  <c r="D17" i="4"/>
  <c r="E17" i="4"/>
  <c r="F17" i="4"/>
  <c r="G17" i="4"/>
  <c r="H17" i="4"/>
  <c r="I17" i="4"/>
  <c r="J17" i="4"/>
  <c r="K17" i="4"/>
  <c r="L17" i="4"/>
  <c r="M17" i="4"/>
  <c r="N17" i="4"/>
  <c r="D18" i="4"/>
  <c r="E18" i="4"/>
  <c r="F18" i="4"/>
  <c r="G18" i="4"/>
  <c r="H18" i="4"/>
  <c r="I18" i="4"/>
  <c r="J18" i="4"/>
  <c r="K18" i="4"/>
  <c r="L18" i="4"/>
  <c r="M18" i="4"/>
  <c r="N18" i="4"/>
  <c r="D19" i="4"/>
  <c r="E19" i="4"/>
  <c r="F19" i="4"/>
  <c r="G19" i="4"/>
  <c r="H19" i="4"/>
  <c r="I19" i="4"/>
  <c r="J19" i="4"/>
  <c r="K19" i="4"/>
  <c r="L19" i="4"/>
  <c r="M19" i="4"/>
  <c r="N19" i="4"/>
  <c r="D20" i="4"/>
  <c r="E20" i="4"/>
  <c r="F20" i="4"/>
  <c r="G20" i="4"/>
  <c r="H20" i="4"/>
  <c r="I20" i="4"/>
  <c r="J20" i="4"/>
  <c r="K20" i="4"/>
  <c r="L20" i="4"/>
  <c r="M20" i="4"/>
  <c r="N20" i="4"/>
  <c r="D21" i="4"/>
  <c r="E21" i="4"/>
  <c r="F21" i="4"/>
  <c r="G21" i="4"/>
  <c r="H21" i="4"/>
  <c r="I21" i="4"/>
  <c r="J21" i="4"/>
  <c r="K21" i="4"/>
  <c r="L21" i="4"/>
  <c r="M21" i="4"/>
  <c r="N21" i="4"/>
  <c r="D22" i="4"/>
  <c r="E22" i="4"/>
  <c r="F22" i="4"/>
  <c r="G22" i="4"/>
  <c r="H22" i="4"/>
  <c r="I22" i="4"/>
  <c r="J22" i="4"/>
  <c r="K22" i="4"/>
  <c r="L22" i="4"/>
  <c r="M22" i="4"/>
  <c r="N22" i="4"/>
  <c r="D23" i="4"/>
  <c r="E23" i="4"/>
  <c r="F23" i="4"/>
  <c r="G23" i="4"/>
  <c r="H23" i="4"/>
  <c r="I23" i="4"/>
  <c r="J23" i="4"/>
  <c r="K23" i="4"/>
  <c r="L23" i="4"/>
  <c r="M23" i="4"/>
  <c r="N23" i="4"/>
  <c r="D24" i="4"/>
  <c r="E24" i="4"/>
  <c r="F24" i="4"/>
  <c r="G24" i="4"/>
  <c r="H24" i="4"/>
  <c r="I24" i="4"/>
  <c r="J24" i="4"/>
  <c r="K24" i="4"/>
  <c r="L24" i="4"/>
  <c r="M24" i="4"/>
  <c r="N24" i="4"/>
  <c r="D25" i="4"/>
  <c r="E25" i="4"/>
  <c r="F25" i="4"/>
  <c r="G25" i="4"/>
  <c r="H25" i="4"/>
  <c r="I25" i="4"/>
  <c r="J25" i="4"/>
  <c r="K25" i="4"/>
  <c r="L25" i="4"/>
  <c r="M25" i="4"/>
  <c r="N25" i="4"/>
  <c r="D26" i="4"/>
  <c r="E26" i="4"/>
  <c r="F26" i="4"/>
  <c r="G26" i="4"/>
  <c r="H26" i="4"/>
  <c r="I26" i="4"/>
  <c r="J26" i="4"/>
  <c r="K26" i="4"/>
  <c r="L26" i="4"/>
  <c r="M26" i="4"/>
  <c r="N26" i="4"/>
  <c r="D27" i="4"/>
  <c r="E27" i="4"/>
  <c r="F27" i="4"/>
  <c r="G27" i="4"/>
  <c r="H27" i="4"/>
  <c r="I27" i="4"/>
  <c r="J27" i="4"/>
  <c r="K27" i="4"/>
  <c r="L27" i="4"/>
  <c r="M27" i="4"/>
  <c r="N27" i="4"/>
  <c r="D28" i="4"/>
  <c r="E28" i="4"/>
  <c r="F28" i="4"/>
  <c r="G28" i="4"/>
  <c r="H28" i="4"/>
  <c r="I28" i="4"/>
  <c r="J28" i="4"/>
  <c r="K28" i="4"/>
  <c r="L28" i="4"/>
  <c r="M28" i="4"/>
  <c r="N28" i="4"/>
  <c r="D29" i="4"/>
  <c r="E29" i="4"/>
  <c r="F29" i="4"/>
  <c r="G29" i="4"/>
  <c r="H29" i="4"/>
  <c r="I29" i="4"/>
  <c r="J29" i="4"/>
  <c r="K29" i="4"/>
  <c r="L29" i="4"/>
  <c r="M29" i="4"/>
  <c r="N29" i="4"/>
  <c r="D30" i="4"/>
  <c r="E30" i="4"/>
  <c r="F30" i="4"/>
  <c r="G30" i="4"/>
  <c r="H30" i="4"/>
  <c r="I30" i="4"/>
  <c r="J30" i="4"/>
  <c r="K30" i="4"/>
  <c r="L30" i="4"/>
  <c r="M30" i="4"/>
  <c r="N30" i="4"/>
  <c r="D31" i="4"/>
  <c r="E31" i="4"/>
  <c r="F31" i="4"/>
  <c r="G31" i="4"/>
  <c r="H31" i="4"/>
  <c r="I31" i="4"/>
  <c r="J31" i="4"/>
  <c r="K31" i="4"/>
  <c r="L31" i="4"/>
  <c r="M31" i="4"/>
  <c r="N31" i="4"/>
  <c r="D32" i="4"/>
  <c r="E32" i="4"/>
  <c r="F32" i="4"/>
  <c r="G32" i="4"/>
  <c r="H32" i="4"/>
  <c r="I32" i="4"/>
  <c r="J32" i="4"/>
  <c r="K32" i="4"/>
  <c r="L32" i="4"/>
  <c r="M32" i="4"/>
  <c r="N32" i="4"/>
  <c r="D33" i="4"/>
  <c r="E33" i="4"/>
  <c r="F33" i="4"/>
  <c r="G33" i="4"/>
  <c r="H33" i="4"/>
  <c r="I33" i="4"/>
  <c r="J33" i="4"/>
  <c r="K33" i="4"/>
  <c r="L33" i="4"/>
  <c r="M33" i="4"/>
  <c r="N33" i="4"/>
  <c r="D34" i="4"/>
  <c r="E34" i="4"/>
  <c r="F34" i="4"/>
  <c r="G34" i="4"/>
  <c r="H34" i="4"/>
  <c r="I34" i="4"/>
  <c r="J34" i="4"/>
  <c r="K34" i="4"/>
  <c r="L34" i="4"/>
  <c r="M34" i="4"/>
  <c r="N34" i="4"/>
  <c r="D35" i="4"/>
  <c r="E35" i="4"/>
  <c r="F35" i="4"/>
  <c r="G35" i="4"/>
  <c r="H35" i="4"/>
  <c r="I35" i="4"/>
  <c r="J35" i="4"/>
  <c r="K35" i="4"/>
  <c r="L35" i="4"/>
  <c r="M35" i="4"/>
  <c r="N35" i="4"/>
  <c r="D36" i="4"/>
  <c r="E36" i="4"/>
  <c r="F36" i="4"/>
  <c r="G36" i="4"/>
  <c r="H36" i="4"/>
  <c r="I36" i="4"/>
  <c r="J36" i="4"/>
  <c r="K36" i="4"/>
  <c r="L36" i="4"/>
  <c r="M36" i="4"/>
  <c r="N36" i="4"/>
  <c r="D37" i="4"/>
  <c r="E37" i="4"/>
  <c r="F37" i="4"/>
  <c r="G37" i="4"/>
  <c r="H37" i="4"/>
  <c r="I37" i="4"/>
  <c r="J37" i="4"/>
  <c r="K37" i="4"/>
  <c r="L37" i="4"/>
  <c r="M37" i="4"/>
  <c r="N37" i="4"/>
  <c r="D38" i="4"/>
  <c r="E38" i="4"/>
  <c r="F38" i="4"/>
  <c r="G38" i="4"/>
  <c r="H38" i="4"/>
  <c r="I38" i="4"/>
  <c r="J38" i="4"/>
  <c r="K38" i="4"/>
  <c r="L38" i="4"/>
  <c r="M38" i="4"/>
  <c r="N38" i="4"/>
  <c r="D39" i="4"/>
  <c r="E39" i="4"/>
  <c r="F39" i="4"/>
  <c r="G39" i="4"/>
  <c r="H39" i="4"/>
  <c r="I39" i="4"/>
  <c r="J39" i="4"/>
  <c r="K39" i="4"/>
  <c r="L39" i="4"/>
  <c r="M39" i="4"/>
  <c r="N39" i="4"/>
  <c r="D40" i="4"/>
  <c r="E40" i="4"/>
  <c r="F40" i="4"/>
  <c r="G40" i="4"/>
  <c r="H40" i="4"/>
  <c r="I40" i="4"/>
  <c r="J40" i="4"/>
  <c r="K40" i="4"/>
  <c r="L40" i="4"/>
  <c r="M40" i="4"/>
  <c r="N40" i="4"/>
  <c r="D41" i="4"/>
  <c r="E41" i="4"/>
  <c r="F41" i="4"/>
  <c r="G41" i="4"/>
  <c r="H41" i="4"/>
  <c r="I41" i="4"/>
  <c r="J41" i="4"/>
  <c r="K41" i="4"/>
  <c r="L41" i="4"/>
  <c r="M41" i="4"/>
  <c r="N41" i="4"/>
  <c r="D42" i="4"/>
  <c r="E42" i="4"/>
  <c r="F42" i="4"/>
  <c r="G42" i="4"/>
  <c r="H42" i="4"/>
  <c r="I42" i="4"/>
  <c r="J42" i="4"/>
  <c r="K42" i="4"/>
  <c r="L42" i="4"/>
  <c r="M42" i="4"/>
  <c r="N42" i="4"/>
  <c r="D43" i="4"/>
  <c r="E43" i="4"/>
  <c r="F43" i="4"/>
  <c r="G43" i="4"/>
  <c r="H43" i="4"/>
  <c r="I43" i="4"/>
  <c r="J43" i="4"/>
  <c r="K43" i="4"/>
  <c r="L43" i="4"/>
  <c r="M43" i="4"/>
  <c r="N43" i="4"/>
  <c r="D44" i="4"/>
  <c r="E44" i="4"/>
  <c r="F44" i="4"/>
  <c r="G44" i="4"/>
  <c r="H44" i="4"/>
  <c r="I44" i="4"/>
  <c r="J44" i="4"/>
  <c r="K44" i="4"/>
  <c r="L44" i="4"/>
  <c r="M44" i="4"/>
  <c r="N44" i="4"/>
  <c r="D45" i="4"/>
  <c r="E45" i="4"/>
  <c r="F45" i="4"/>
  <c r="G45" i="4"/>
  <c r="H45" i="4"/>
  <c r="I45" i="4"/>
  <c r="J45" i="4"/>
  <c r="K45" i="4"/>
  <c r="L45" i="4"/>
  <c r="M45" i="4"/>
  <c r="N45" i="4"/>
  <c r="D46" i="4"/>
  <c r="E46" i="4"/>
  <c r="F46" i="4"/>
  <c r="G46" i="4"/>
  <c r="H46" i="4"/>
  <c r="I46" i="4"/>
  <c r="J46" i="4"/>
  <c r="K46" i="4"/>
  <c r="L46" i="4"/>
  <c r="M46" i="4"/>
  <c r="N46" i="4"/>
  <c r="D47" i="4"/>
  <c r="E47" i="4"/>
  <c r="F47" i="4"/>
  <c r="G47" i="4"/>
  <c r="H47" i="4"/>
  <c r="I47" i="4"/>
  <c r="J47" i="4"/>
  <c r="K47" i="4"/>
  <c r="L47" i="4"/>
  <c r="M47" i="4"/>
  <c r="N47" i="4"/>
  <c r="D48" i="4"/>
  <c r="E48" i="4"/>
  <c r="F48" i="4"/>
  <c r="G48" i="4"/>
  <c r="H48" i="4"/>
  <c r="I48" i="4"/>
  <c r="J48" i="4"/>
  <c r="K48" i="4"/>
  <c r="L48" i="4"/>
  <c r="M48" i="4"/>
  <c r="N48" i="4"/>
  <c r="D49" i="4"/>
  <c r="E49" i="4"/>
  <c r="F49" i="4"/>
  <c r="G49" i="4"/>
  <c r="H49" i="4"/>
  <c r="I49" i="4"/>
  <c r="J49" i="4"/>
  <c r="K49" i="4"/>
  <c r="L49" i="4"/>
  <c r="M49" i="4"/>
  <c r="N49" i="4"/>
  <c r="D50" i="4"/>
  <c r="E50" i="4"/>
  <c r="F50" i="4"/>
  <c r="G50" i="4"/>
  <c r="H50" i="4"/>
  <c r="I50" i="4"/>
  <c r="J50" i="4"/>
  <c r="K50" i="4"/>
  <c r="L50" i="4"/>
  <c r="M50" i="4"/>
  <c r="N50" i="4"/>
  <c r="D51" i="4"/>
  <c r="E51" i="4"/>
  <c r="F51" i="4"/>
  <c r="G51" i="4"/>
  <c r="H51" i="4"/>
  <c r="I51" i="4"/>
  <c r="J51" i="4"/>
  <c r="K51" i="4"/>
  <c r="L51" i="4"/>
  <c r="M51" i="4"/>
  <c r="N51" i="4"/>
  <c r="D52" i="4"/>
  <c r="E52" i="4"/>
  <c r="F52" i="4"/>
  <c r="G52" i="4"/>
  <c r="H52" i="4"/>
  <c r="I52" i="4"/>
  <c r="J52" i="4"/>
  <c r="K52" i="4"/>
  <c r="L52" i="4"/>
  <c r="M52" i="4"/>
  <c r="N52" i="4"/>
  <c r="D53" i="4"/>
  <c r="E53" i="4"/>
  <c r="F53" i="4"/>
  <c r="G53" i="4"/>
  <c r="H53" i="4"/>
  <c r="I53" i="4"/>
  <c r="J53" i="4"/>
  <c r="K53" i="4"/>
  <c r="L53" i="4"/>
  <c r="M53" i="4"/>
  <c r="N53" i="4"/>
  <c r="D54" i="4"/>
  <c r="E54" i="4"/>
  <c r="F54" i="4"/>
  <c r="G54" i="4"/>
  <c r="H54" i="4"/>
  <c r="I54" i="4"/>
  <c r="J54" i="4"/>
  <c r="K54" i="4"/>
  <c r="L54" i="4"/>
  <c r="M54" i="4"/>
  <c r="N54" i="4"/>
  <c r="D3" i="4"/>
  <c r="N3" i="4"/>
  <c r="M3" i="4"/>
  <c r="L3" i="4"/>
  <c r="K3" i="4"/>
  <c r="J3" i="4"/>
  <c r="I3" i="4"/>
  <c r="H3" i="4"/>
  <c r="G3" i="4"/>
  <c r="F3" i="4"/>
  <c r="E3" i="4"/>
  <c r="D50" i="1"/>
  <c r="E50" i="1"/>
  <c r="F50" i="1"/>
  <c r="G50" i="1"/>
  <c r="H50" i="1"/>
  <c r="I50" i="1"/>
  <c r="J50" i="1"/>
  <c r="K50" i="1"/>
  <c r="L50" i="1"/>
  <c r="M50" i="1"/>
  <c r="N50" i="1"/>
  <c r="D51" i="1"/>
  <c r="E51" i="1"/>
  <c r="F51" i="1"/>
  <c r="G51" i="1"/>
  <c r="H51" i="1"/>
  <c r="I51" i="1"/>
  <c r="J51" i="1"/>
  <c r="K51" i="1"/>
  <c r="L51" i="1"/>
  <c r="M51" i="1"/>
  <c r="N51" i="1"/>
  <c r="D52" i="1"/>
  <c r="E52" i="1"/>
  <c r="F52" i="1"/>
  <c r="G52" i="1"/>
  <c r="H52" i="1"/>
  <c r="I52" i="1"/>
  <c r="J52" i="1"/>
  <c r="K52" i="1"/>
  <c r="L52" i="1"/>
  <c r="M52" i="1"/>
  <c r="N52" i="1"/>
  <c r="D53" i="1"/>
  <c r="E53" i="1"/>
  <c r="F53" i="1"/>
  <c r="G53" i="1"/>
  <c r="H53" i="1"/>
  <c r="I53" i="1"/>
  <c r="J53" i="1"/>
  <c r="K53" i="1"/>
  <c r="L53" i="1"/>
  <c r="M53" i="1"/>
  <c r="N53" i="1"/>
  <c r="E3" i="1"/>
  <c r="F3" i="1"/>
  <c r="G3" i="1"/>
  <c r="H3" i="1"/>
  <c r="I3" i="1"/>
  <c r="J3" i="1"/>
  <c r="K3" i="1"/>
  <c r="L3" i="1"/>
  <c r="M3" i="1"/>
  <c r="N3" i="1"/>
  <c r="E4" i="1"/>
  <c r="F4" i="1"/>
  <c r="G4" i="1"/>
  <c r="H4" i="1"/>
  <c r="I4" i="1"/>
  <c r="J4" i="1"/>
  <c r="K4" i="1"/>
  <c r="L4" i="1"/>
  <c r="M4" i="1"/>
  <c r="N4" i="1"/>
  <c r="E5" i="1"/>
  <c r="F5" i="1"/>
  <c r="G5" i="1"/>
  <c r="H5" i="1"/>
  <c r="I5" i="1"/>
  <c r="J5" i="1"/>
  <c r="K5" i="1"/>
  <c r="L5" i="1"/>
  <c r="M5" i="1"/>
  <c r="N5" i="1"/>
  <c r="E6" i="1"/>
  <c r="F6" i="1"/>
  <c r="G6" i="1"/>
  <c r="H6" i="1"/>
  <c r="I6" i="1"/>
  <c r="J6" i="1"/>
  <c r="K6" i="1"/>
  <c r="L6" i="1"/>
  <c r="M6" i="1"/>
  <c r="N6" i="1"/>
  <c r="E7" i="1"/>
  <c r="F7" i="1"/>
  <c r="G7" i="1"/>
  <c r="H7" i="1"/>
  <c r="I7" i="1"/>
  <c r="J7" i="1"/>
  <c r="K7" i="1"/>
  <c r="L7" i="1"/>
  <c r="M7" i="1"/>
  <c r="N7" i="1"/>
  <c r="E8" i="1"/>
  <c r="F8" i="1"/>
  <c r="G8" i="1"/>
  <c r="H8" i="1"/>
  <c r="I8" i="1"/>
  <c r="J8" i="1"/>
  <c r="K8" i="1"/>
  <c r="L8" i="1"/>
  <c r="M8" i="1"/>
  <c r="N8" i="1"/>
  <c r="E9" i="1"/>
  <c r="F9" i="1"/>
  <c r="G9" i="1"/>
  <c r="H9" i="1"/>
  <c r="I9" i="1"/>
  <c r="J9" i="1"/>
  <c r="K9" i="1"/>
  <c r="L9" i="1"/>
  <c r="M9" i="1"/>
  <c r="N9" i="1"/>
  <c r="E10" i="1"/>
  <c r="F10" i="1"/>
  <c r="G10" i="1"/>
  <c r="H10" i="1"/>
  <c r="I10" i="1"/>
  <c r="J10" i="1"/>
  <c r="K10" i="1"/>
  <c r="L10" i="1"/>
  <c r="M10" i="1"/>
  <c r="N10" i="1"/>
  <c r="E11" i="1"/>
  <c r="F11" i="1"/>
  <c r="G11" i="1"/>
  <c r="H11" i="1"/>
  <c r="I11" i="1"/>
  <c r="J11" i="1"/>
  <c r="K11" i="1"/>
  <c r="L11" i="1"/>
  <c r="M11" i="1"/>
  <c r="N11" i="1"/>
  <c r="E12" i="1"/>
  <c r="F12" i="1"/>
  <c r="G12" i="1"/>
  <c r="H12" i="1"/>
  <c r="I12" i="1"/>
  <c r="J12" i="1"/>
  <c r="K12" i="1"/>
  <c r="L12" i="1"/>
  <c r="M12" i="1"/>
  <c r="N12" i="1"/>
  <c r="E13" i="1"/>
  <c r="F13" i="1"/>
  <c r="G13" i="1"/>
  <c r="H13" i="1"/>
  <c r="I13" i="1"/>
  <c r="J13" i="1"/>
  <c r="K13" i="1"/>
  <c r="L13" i="1"/>
  <c r="M13" i="1"/>
  <c r="N13" i="1"/>
  <c r="E14" i="1"/>
  <c r="F14" i="1"/>
  <c r="G14" i="1"/>
  <c r="H14" i="1"/>
  <c r="I14" i="1"/>
  <c r="J14" i="1"/>
  <c r="K14" i="1"/>
  <c r="L14" i="1"/>
  <c r="M14" i="1"/>
  <c r="N14" i="1"/>
  <c r="E15" i="1"/>
  <c r="F15" i="1"/>
  <c r="G15" i="1"/>
  <c r="H15" i="1"/>
  <c r="I15" i="1"/>
  <c r="J15" i="1"/>
  <c r="K15" i="1"/>
  <c r="L15" i="1"/>
  <c r="M15" i="1"/>
  <c r="N15" i="1"/>
  <c r="E16" i="1"/>
  <c r="F16" i="1"/>
  <c r="G16" i="1"/>
  <c r="H16" i="1"/>
  <c r="I16" i="1"/>
  <c r="J16" i="1"/>
  <c r="K16" i="1"/>
  <c r="L16" i="1"/>
  <c r="M16" i="1"/>
  <c r="N16" i="1"/>
  <c r="E17" i="1"/>
  <c r="F17" i="1"/>
  <c r="G17" i="1"/>
  <c r="H17" i="1"/>
  <c r="I17" i="1"/>
  <c r="J17" i="1"/>
  <c r="K17" i="1"/>
  <c r="L17" i="1"/>
  <c r="M17" i="1"/>
  <c r="N17" i="1"/>
  <c r="E18" i="1"/>
  <c r="F18" i="1"/>
  <c r="G18" i="1"/>
  <c r="H18" i="1"/>
  <c r="I18" i="1"/>
  <c r="J18" i="1"/>
  <c r="K18" i="1"/>
  <c r="L18" i="1"/>
  <c r="M18" i="1"/>
  <c r="N18" i="1"/>
  <c r="E19" i="1"/>
  <c r="F19" i="1"/>
  <c r="G19" i="1"/>
  <c r="H19" i="1"/>
  <c r="I19" i="1"/>
  <c r="J19" i="1"/>
  <c r="K19" i="1"/>
  <c r="L19" i="1"/>
  <c r="M19" i="1"/>
  <c r="N19" i="1"/>
  <c r="E20" i="1"/>
  <c r="F20" i="1"/>
  <c r="G20" i="1"/>
  <c r="H20" i="1"/>
  <c r="I20" i="1"/>
  <c r="J20" i="1"/>
  <c r="K20" i="1"/>
  <c r="L20" i="1"/>
  <c r="M20" i="1"/>
  <c r="N20" i="1"/>
  <c r="E21" i="1"/>
  <c r="F21" i="1"/>
  <c r="G21" i="1"/>
  <c r="H21" i="1"/>
  <c r="I21" i="1"/>
  <c r="J21" i="1"/>
  <c r="K21" i="1"/>
  <c r="L21" i="1"/>
  <c r="M21" i="1"/>
  <c r="N21" i="1"/>
  <c r="E22" i="1"/>
  <c r="F22" i="1"/>
  <c r="G22" i="1"/>
  <c r="H22" i="1"/>
  <c r="I22" i="1"/>
  <c r="J22" i="1"/>
  <c r="K22" i="1"/>
  <c r="L22" i="1"/>
  <c r="M22" i="1"/>
  <c r="N22" i="1"/>
  <c r="E23" i="1"/>
  <c r="F23" i="1"/>
  <c r="G23" i="1"/>
  <c r="H23" i="1"/>
  <c r="I23" i="1"/>
  <c r="J23" i="1"/>
  <c r="K23" i="1"/>
  <c r="L23" i="1"/>
  <c r="M23" i="1"/>
  <c r="N23" i="1"/>
  <c r="E24" i="1"/>
  <c r="F24" i="1"/>
  <c r="G24" i="1"/>
  <c r="H24" i="1"/>
  <c r="I24" i="1"/>
  <c r="J24" i="1"/>
  <c r="K24" i="1"/>
  <c r="L24" i="1"/>
  <c r="M24" i="1"/>
  <c r="N24" i="1"/>
  <c r="E25" i="1"/>
  <c r="F25" i="1"/>
  <c r="G25" i="1"/>
  <c r="H25" i="1"/>
  <c r="I25" i="1"/>
  <c r="J25" i="1"/>
  <c r="K25" i="1"/>
  <c r="L25" i="1"/>
  <c r="M25" i="1"/>
  <c r="N25" i="1"/>
  <c r="E26" i="1"/>
  <c r="F26" i="1"/>
  <c r="G26" i="1"/>
  <c r="H26" i="1"/>
  <c r="I26" i="1"/>
  <c r="J26" i="1"/>
  <c r="K26" i="1"/>
  <c r="L26" i="1"/>
  <c r="M26" i="1"/>
  <c r="N26" i="1"/>
  <c r="E27" i="1"/>
  <c r="F27" i="1"/>
  <c r="G27" i="1"/>
  <c r="H27" i="1"/>
  <c r="I27" i="1"/>
  <c r="J27" i="1"/>
  <c r="K27" i="1"/>
  <c r="L27" i="1"/>
  <c r="M27" i="1"/>
  <c r="N27" i="1"/>
  <c r="E28" i="1"/>
  <c r="F28" i="1"/>
  <c r="G28" i="1"/>
  <c r="H28" i="1"/>
  <c r="I28" i="1"/>
  <c r="J28" i="1"/>
  <c r="K28" i="1"/>
  <c r="L28" i="1"/>
  <c r="M28" i="1"/>
  <c r="N28" i="1"/>
  <c r="E29" i="1"/>
  <c r="F29" i="1"/>
  <c r="G29" i="1"/>
  <c r="H29" i="1"/>
  <c r="I29" i="1"/>
  <c r="J29" i="1"/>
  <c r="K29" i="1"/>
  <c r="L29" i="1"/>
  <c r="M29" i="1"/>
  <c r="N29" i="1"/>
  <c r="E30" i="1"/>
  <c r="F30" i="1"/>
  <c r="G30" i="1"/>
  <c r="H30" i="1"/>
  <c r="I30" i="1"/>
  <c r="J30" i="1"/>
  <c r="K30" i="1"/>
  <c r="L30" i="1"/>
  <c r="M30" i="1"/>
  <c r="N30" i="1"/>
  <c r="E31" i="1"/>
  <c r="F31" i="1"/>
  <c r="G31" i="1"/>
  <c r="H31" i="1"/>
  <c r="I31" i="1"/>
  <c r="J31" i="1"/>
  <c r="K31" i="1"/>
  <c r="L31" i="1"/>
  <c r="M31" i="1"/>
  <c r="N31" i="1"/>
  <c r="E32" i="1"/>
  <c r="F32" i="1"/>
  <c r="G32" i="1"/>
  <c r="H32" i="1"/>
  <c r="I32" i="1"/>
  <c r="J32" i="1"/>
  <c r="K32" i="1"/>
  <c r="L32" i="1"/>
  <c r="M32" i="1"/>
  <c r="N32" i="1"/>
  <c r="E33" i="1"/>
  <c r="F33" i="1"/>
  <c r="G33" i="1"/>
  <c r="H33" i="1"/>
  <c r="I33" i="1"/>
  <c r="J33" i="1"/>
  <c r="K33" i="1"/>
  <c r="L33" i="1"/>
  <c r="M33" i="1"/>
  <c r="N33" i="1"/>
  <c r="E34" i="1"/>
  <c r="F34" i="1"/>
  <c r="G34" i="1"/>
  <c r="H34" i="1"/>
  <c r="I34" i="1"/>
  <c r="J34" i="1"/>
  <c r="K34" i="1"/>
  <c r="L34" i="1"/>
  <c r="M34" i="1"/>
  <c r="N34" i="1"/>
  <c r="E35" i="1"/>
  <c r="F35" i="1"/>
  <c r="G35" i="1"/>
  <c r="H35" i="1"/>
  <c r="I35" i="1"/>
  <c r="J35" i="1"/>
  <c r="K35" i="1"/>
  <c r="L35" i="1"/>
  <c r="M35" i="1"/>
  <c r="N35" i="1"/>
  <c r="E36" i="1"/>
  <c r="F36" i="1"/>
  <c r="G36" i="1"/>
  <c r="H36" i="1"/>
  <c r="I36" i="1"/>
  <c r="J36" i="1"/>
  <c r="K36" i="1"/>
  <c r="L36" i="1"/>
  <c r="M36" i="1"/>
  <c r="N36" i="1"/>
  <c r="E37" i="1"/>
  <c r="F37" i="1"/>
  <c r="G37" i="1"/>
  <c r="H37" i="1"/>
  <c r="I37" i="1"/>
  <c r="J37" i="1"/>
  <c r="K37" i="1"/>
  <c r="L37" i="1"/>
  <c r="M37" i="1"/>
  <c r="N37" i="1"/>
  <c r="E38" i="1"/>
  <c r="F38" i="1"/>
  <c r="G38" i="1"/>
  <c r="H38" i="1"/>
  <c r="I38" i="1"/>
  <c r="J38" i="1"/>
  <c r="K38" i="1"/>
  <c r="L38" i="1"/>
  <c r="M38" i="1"/>
  <c r="N38" i="1"/>
  <c r="E39" i="1"/>
  <c r="F39" i="1"/>
  <c r="G39" i="1"/>
  <c r="H39" i="1"/>
  <c r="I39" i="1"/>
  <c r="J39" i="1"/>
  <c r="K39" i="1"/>
  <c r="L39" i="1"/>
  <c r="M39" i="1"/>
  <c r="N39" i="1"/>
  <c r="E40" i="1"/>
  <c r="F40" i="1"/>
  <c r="G40" i="1"/>
  <c r="H40" i="1"/>
  <c r="I40" i="1"/>
  <c r="J40" i="1"/>
  <c r="K40" i="1"/>
  <c r="L40" i="1"/>
  <c r="M40" i="1"/>
  <c r="N40" i="1"/>
  <c r="E41" i="1"/>
  <c r="F41" i="1"/>
  <c r="G41" i="1"/>
  <c r="H41" i="1"/>
  <c r="I41" i="1"/>
  <c r="J41" i="1"/>
  <c r="K41" i="1"/>
  <c r="L41" i="1"/>
  <c r="M41" i="1"/>
  <c r="N41" i="1"/>
  <c r="E42" i="1"/>
  <c r="F42" i="1"/>
  <c r="G42" i="1"/>
  <c r="H42" i="1"/>
  <c r="I42" i="1"/>
  <c r="J42" i="1"/>
  <c r="K42" i="1"/>
  <c r="L42" i="1"/>
  <c r="M42" i="1"/>
  <c r="N42" i="1"/>
  <c r="E43" i="1"/>
  <c r="F43" i="1"/>
  <c r="G43" i="1"/>
  <c r="H43" i="1"/>
  <c r="I43" i="1"/>
  <c r="J43" i="1"/>
  <c r="K43" i="1"/>
  <c r="L43" i="1"/>
  <c r="M43" i="1"/>
  <c r="N43" i="1"/>
  <c r="E44" i="1"/>
  <c r="F44" i="1"/>
  <c r="G44" i="1"/>
  <c r="H44" i="1"/>
  <c r="I44" i="1"/>
  <c r="J44" i="1"/>
  <c r="K44" i="1"/>
  <c r="L44" i="1"/>
  <c r="M44" i="1"/>
  <c r="N44" i="1"/>
  <c r="E45" i="1"/>
  <c r="F45" i="1"/>
  <c r="G45" i="1"/>
  <c r="H45" i="1"/>
  <c r="I45" i="1"/>
  <c r="J45" i="1"/>
  <c r="K45" i="1"/>
  <c r="L45" i="1"/>
  <c r="M45" i="1"/>
  <c r="N45" i="1"/>
  <c r="E46" i="1"/>
  <c r="F46" i="1"/>
  <c r="G46" i="1"/>
  <c r="H46" i="1"/>
  <c r="I46" i="1"/>
  <c r="J46" i="1"/>
  <c r="K46" i="1"/>
  <c r="L46" i="1"/>
  <c r="M46" i="1"/>
  <c r="N46" i="1"/>
  <c r="E47" i="1"/>
  <c r="F47" i="1"/>
  <c r="G47" i="1"/>
  <c r="H47" i="1"/>
  <c r="I47" i="1"/>
  <c r="J47" i="1"/>
  <c r="K47" i="1"/>
  <c r="L47" i="1"/>
  <c r="M47" i="1"/>
  <c r="N47" i="1"/>
  <c r="E48" i="1"/>
  <c r="F48" i="1"/>
  <c r="G48" i="1"/>
  <c r="H48" i="1"/>
  <c r="I48" i="1"/>
  <c r="J48" i="1"/>
  <c r="K48" i="1"/>
  <c r="L48" i="1"/>
  <c r="M48" i="1"/>
  <c r="N48" i="1"/>
  <c r="E49" i="1"/>
  <c r="F49" i="1"/>
  <c r="G49" i="1"/>
  <c r="H49" i="1"/>
  <c r="I49" i="1"/>
  <c r="J49" i="1"/>
  <c r="K49" i="1"/>
  <c r="L49" i="1"/>
  <c r="M49" i="1"/>
  <c r="N49" i="1"/>
  <c r="N2" i="1"/>
  <c r="M2" i="1"/>
  <c r="L2" i="1"/>
  <c r="K2" i="1"/>
  <c r="J2" i="1"/>
  <c r="I2" i="1"/>
  <c r="H2" i="1"/>
  <c r="G2" i="1"/>
  <c r="F2" i="1"/>
  <c r="E2" i="1"/>
  <c r="D3" i="1"/>
  <c r="P3" i="1" s="1"/>
  <c r="D4" i="1"/>
  <c r="P4" i="1" s="1"/>
  <c r="D5" i="1"/>
  <c r="P5" i="1" s="1"/>
  <c r="D6" i="1"/>
  <c r="P6" i="1" s="1"/>
  <c r="D7" i="1"/>
  <c r="P7" i="1" s="1"/>
  <c r="D8" i="1"/>
  <c r="P8" i="1" s="1"/>
  <c r="D9" i="1"/>
  <c r="P9" i="1" s="1"/>
  <c r="D10" i="1"/>
  <c r="P10" i="1" s="1"/>
  <c r="D11" i="1"/>
  <c r="P11" i="1" s="1"/>
  <c r="D12" i="1"/>
  <c r="P12" i="1" s="1"/>
  <c r="D13" i="1"/>
  <c r="P13" i="1" s="1"/>
  <c r="D14" i="1"/>
  <c r="P14" i="1" s="1"/>
  <c r="D15" i="1"/>
  <c r="P15" i="1" s="1"/>
  <c r="D16" i="1"/>
  <c r="P16" i="1" s="1"/>
  <c r="D17" i="1"/>
  <c r="P17" i="1" s="1"/>
  <c r="D18" i="1"/>
  <c r="P18" i="1" s="1"/>
  <c r="D19" i="1"/>
  <c r="P19" i="1" s="1"/>
  <c r="D20" i="1"/>
  <c r="P20" i="1" s="1"/>
  <c r="D21" i="1"/>
  <c r="P21" i="1" s="1"/>
  <c r="D22" i="1"/>
  <c r="P22" i="1" s="1"/>
  <c r="D23" i="1"/>
  <c r="P23" i="1" s="1"/>
  <c r="D24" i="1"/>
  <c r="P24" i="1" s="1"/>
  <c r="D25" i="1"/>
  <c r="P25" i="1" s="1"/>
  <c r="D26" i="1"/>
  <c r="P26" i="1" s="1"/>
  <c r="D27" i="1"/>
  <c r="P27" i="1" s="1"/>
  <c r="D28" i="1"/>
  <c r="P28" i="1" s="1"/>
  <c r="D29" i="1"/>
  <c r="P29" i="1" s="1"/>
  <c r="D30" i="1"/>
  <c r="P30" i="1" s="1"/>
  <c r="D31" i="1"/>
  <c r="P31" i="1" s="1"/>
  <c r="D32" i="1"/>
  <c r="P32" i="1" s="1"/>
  <c r="D33" i="1"/>
  <c r="P33" i="1" s="1"/>
  <c r="D34" i="1"/>
  <c r="P34" i="1" s="1"/>
  <c r="D35" i="1"/>
  <c r="P35" i="1" s="1"/>
  <c r="D36" i="1"/>
  <c r="P36" i="1" s="1"/>
  <c r="D37" i="1"/>
  <c r="P37" i="1" s="1"/>
  <c r="D38" i="1"/>
  <c r="P38" i="1" s="1"/>
  <c r="D39" i="1"/>
  <c r="P39" i="1" s="1"/>
  <c r="D40" i="1"/>
  <c r="P40" i="1" s="1"/>
  <c r="D41" i="1"/>
  <c r="P41" i="1" s="1"/>
  <c r="D42" i="1"/>
  <c r="P42" i="1" s="1"/>
  <c r="D43" i="1"/>
  <c r="P43" i="1" s="1"/>
  <c r="D44" i="1"/>
  <c r="P44" i="1" s="1"/>
  <c r="D45" i="1"/>
  <c r="P45" i="1" s="1"/>
  <c r="D46" i="1"/>
  <c r="P46" i="1" s="1"/>
  <c r="D47" i="1"/>
  <c r="P47" i="1" s="1"/>
  <c r="D48" i="1"/>
  <c r="P48" i="1" s="1"/>
  <c r="D49" i="1"/>
  <c r="P49" i="1" s="1"/>
  <c r="D2" i="1"/>
  <c r="P2" i="1" s="1"/>
  <c r="Y7" i="4" l="1"/>
  <c r="X7" i="4"/>
  <c r="Y54" i="4"/>
  <c r="Z54" i="4" s="1"/>
  <c r="X54" i="4"/>
  <c r="Y53" i="4"/>
  <c r="Z53" i="4" s="1"/>
  <c r="X53" i="4"/>
  <c r="Y52" i="4"/>
  <c r="Z52" i="4" s="1"/>
  <c r="X52" i="4"/>
  <c r="Y51" i="4"/>
  <c r="Z51" i="4" s="1"/>
  <c r="X51" i="4"/>
  <c r="Y50" i="4"/>
  <c r="Z50" i="4" s="1"/>
  <c r="X50" i="4"/>
  <c r="Y49" i="4"/>
  <c r="Z49" i="4" s="1"/>
  <c r="X49" i="4"/>
  <c r="Y48" i="4"/>
  <c r="Z48" i="4" s="1"/>
  <c r="X48" i="4"/>
  <c r="Y47" i="4"/>
  <c r="Z47" i="4" s="1"/>
  <c r="X47" i="4"/>
  <c r="Y46" i="4"/>
  <c r="Z46" i="4" s="1"/>
  <c r="X46" i="4"/>
  <c r="Y45" i="4"/>
  <c r="Z45" i="4" s="1"/>
  <c r="X45" i="4"/>
  <c r="Y44" i="4"/>
  <c r="Z44" i="4" s="1"/>
  <c r="X44" i="4"/>
  <c r="Y43" i="4"/>
  <c r="Z43" i="4" s="1"/>
  <c r="X43" i="4"/>
  <c r="Y42" i="4"/>
  <c r="Z42" i="4" s="1"/>
  <c r="X42" i="4"/>
  <c r="Y41" i="4"/>
  <c r="Z41" i="4" s="1"/>
  <c r="X41" i="4"/>
  <c r="Y40" i="4"/>
  <c r="Z40" i="4" s="1"/>
  <c r="X40" i="4"/>
  <c r="Y39" i="4"/>
  <c r="Z39" i="4" s="1"/>
  <c r="X39" i="4"/>
  <c r="Y38" i="4"/>
  <c r="Z38" i="4" s="1"/>
  <c r="X38" i="4"/>
  <c r="Y37" i="4"/>
  <c r="Z37" i="4" s="1"/>
  <c r="X37" i="4"/>
  <c r="Y36" i="4"/>
  <c r="Z36" i="4" s="1"/>
  <c r="X36" i="4"/>
  <c r="Y35" i="4"/>
  <c r="Z35" i="4" s="1"/>
  <c r="X35" i="4"/>
  <c r="Y34" i="4"/>
  <c r="Z34" i="4" s="1"/>
  <c r="X34" i="4"/>
  <c r="Y33" i="4"/>
  <c r="Z33" i="4" s="1"/>
  <c r="X33" i="4"/>
  <c r="Y32" i="4"/>
  <c r="Z32" i="4" s="1"/>
  <c r="X32" i="4"/>
  <c r="Y31" i="4"/>
  <c r="Z31" i="4" s="1"/>
  <c r="X31" i="4"/>
  <c r="Y30" i="4"/>
  <c r="Z30" i="4" s="1"/>
  <c r="X30" i="4"/>
  <c r="Y29" i="4"/>
  <c r="Z29" i="4" s="1"/>
  <c r="X29" i="4"/>
  <c r="Y28" i="4"/>
  <c r="Z28" i="4" s="1"/>
  <c r="X28" i="4"/>
  <c r="Y27" i="4"/>
  <c r="Z27" i="4" s="1"/>
  <c r="X27" i="4"/>
  <c r="Y26" i="4"/>
  <c r="Z26" i="4" s="1"/>
  <c r="X26" i="4"/>
  <c r="Y25" i="4"/>
  <c r="Z25" i="4" s="1"/>
  <c r="X25" i="4"/>
  <c r="Y24" i="4"/>
  <c r="Z24" i="4" s="1"/>
  <c r="X24" i="4"/>
  <c r="Y23" i="4"/>
  <c r="Z23" i="4" s="1"/>
  <c r="X23" i="4"/>
  <c r="Y22" i="4"/>
  <c r="Z22" i="4" s="1"/>
  <c r="X22" i="4"/>
  <c r="Y21" i="4"/>
  <c r="Z21" i="4" s="1"/>
  <c r="X21" i="4"/>
  <c r="Y20" i="4"/>
  <c r="Z20" i="4" s="1"/>
  <c r="X20" i="4"/>
  <c r="Y19" i="4"/>
  <c r="Z19" i="4" s="1"/>
  <c r="X19" i="4"/>
  <c r="Y18" i="4"/>
  <c r="Z18" i="4" s="1"/>
  <c r="X18" i="4"/>
  <c r="Y17" i="4"/>
  <c r="Z17" i="4" s="1"/>
  <c r="X17" i="4"/>
  <c r="Y16" i="4"/>
  <c r="Z16" i="4" s="1"/>
  <c r="X16" i="4"/>
  <c r="Y15" i="4"/>
  <c r="Z15" i="4" s="1"/>
  <c r="X15" i="4"/>
  <c r="Y14" i="4"/>
  <c r="Z14" i="4" s="1"/>
  <c r="X14" i="4"/>
  <c r="Y13" i="4"/>
  <c r="Z13" i="4" s="1"/>
  <c r="X13" i="4"/>
  <c r="Y12" i="4"/>
  <c r="Z12" i="4" s="1"/>
  <c r="X12" i="4"/>
  <c r="Y11" i="4"/>
  <c r="Z11" i="4" s="1"/>
  <c r="X11" i="4"/>
  <c r="Y10" i="4"/>
  <c r="Z10" i="4" s="1"/>
  <c r="X10" i="4"/>
  <c r="Y9" i="4"/>
  <c r="Z9" i="4" s="1"/>
  <c r="X9" i="4"/>
  <c r="Y8" i="4"/>
  <c r="Z8" i="4" s="1"/>
  <c r="X8" i="4"/>
  <c r="AC4" i="4"/>
  <c r="AB4" i="4"/>
  <c r="AC54" i="4"/>
  <c r="AD54" i="4" s="1"/>
  <c r="AB54" i="4"/>
  <c r="AC53" i="4"/>
  <c r="AD53" i="4" s="1"/>
  <c r="AB53" i="4"/>
  <c r="AC52" i="4"/>
  <c r="AD52" i="4" s="1"/>
  <c r="AB52" i="4"/>
  <c r="AC51" i="4"/>
  <c r="AD51" i="4" s="1"/>
  <c r="AB51" i="4"/>
  <c r="AC50" i="4"/>
  <c r="AD50" i="4" s="1"/>
  <c r="AB50" i="4"/>
  <c r="AC49" i="4"/>
  <c r="AD49" i="4" s="1"/>
  <c r="AB49" i="4"/>
  <c r="AC48" i="4"/>
  <c r="AD48" i="4" s="1"/>
  <c r="AB48" i="4"/>
  <c r="AC47" i="4"/>
  <c r="AD47" i="4" s="1"/>
  <c r="AB47" i="4"/>
  <c r="AC46" i="4"/>
  <c r="AD46" i="4" s="1"/>
  <c r="AB46" i="4"/>
  <c r="AC45" i="4"/>
  <c r="AD45" i="4" s="1"/>
  <c r="AB45" i="4"/>
  <c r="AC44" i="4"/>
  <c r="AD44" i="4" s="1"/>
  <c r="AB44" i="4"/>
  <c r="AC43" i="4"/>
  <c r="AD43" i="4" s="1"/>
  <c r="AB43" i="4"/>
  <c r="AC42" i="4"/>
  <c r="AD42" i="4" s="1"/>
  <c r="AB42" i="4"/>
  <c r="AC41" i="4"/>
  <c r="AD41" i="4" s="1"/>
  <c r="AB41" i="4"/>
  <c r="AC40" i="4"/>
  <c r="AD40" i="4" s="1"/>
  <c r="AB40" i="4"/>
  <c r="AC39" i="4"/>
  <c r="AD39" i="4" s="1"/>
  <c r="AB39" i="4"/>
  <c r="AC38" i="4"/>
  <c r="AD38" i="4" s="1"/>
  <c r="AB38" i="4"/>
  <c r="AC37" i="4"/>
  <c r="AD37" i="4" s="1"/>
  <c r="AB37" i="4"/>
  <c r="AC36" i="4"/>
  <c r="AD36" i="4" s="1"/>
  <c r="AB36" i="4"/>
  <c r="AC35" i="4"/>
  <c r="AD35" i="4" s="1"/>
  <c r="AB35" i="4"/>
  <c r="AC34" i="4"/>
  <c r="AD34" i="4" s="1"/>
  <c r="AB34" i="4"/>
  <c r="AC33" i="4"/>
  <c r="AD33" i="4" s="1"/>
  <c r="AB33" i="4"/>
  <c r="AC32" i="4"/>
  <c r="AD32" i="4" s="1"/>
  <c r="AB32" i="4"/>
  <c r="AC31" i="4"/>
  <c r="AD31" i="4" s="1"/>
  <c r="AB31" i="4"/>
  <c r="AC30" i="4"/>
  <c r="AD30" i="4" s="1"/>
  <c r="AB30" i="4"/>
  <c r="AC29" i="4"/>
  <c r="AD29" i="4" s="1"/>
  <c r="AB29" i="4"/>
  <c r="AC28" i="4"/>
  <c r="AD28" i="4" s="1"/>
  <c r="AB28" i="4"/>
  <c r="AC27" i="4"/>
  <c r="AD27" i="4" s="1"/>
  <c r="AB27" i="4"/>
  <c r="AC26" i="4"/>
  <c r="AD26" i="4" s="1"/>
  <c r="AB26" i="4"/>
  <c r="AC25" i="4"/>
  <c r="AD25" i="4" s="1"/>
  <c r="AB25" i="4"/>
  <c r="AC24" i="4"/>
  <c r="AD24" i="4" s="1"/>
  <c r="AB24" i="4"/>
  <c r="AC23" i="4"/>
  <c r="AD23" i="4" s="1"/>
  <c r="AB23" i="4"/>
  <c r="AC22" i="4"/>
  <c r="AD22" i="4" s="1"/>
  <c r="AB22" i="4"/>
  <c r="AC21" i="4"/>
  <c r="AD21" i="4" s="1"/>
  <c r="AB21" i="4"/>
  <c r="AC20" i="4"/>
  <c r="AD20" i="4" s="1"/>
  <c r="AB20" i="4"/>
  <c r="AC19" i="4"/>
  <c r="AD19" i="4" s="1"/>
  <c r="AB19" i="4"/>
  <c r="AC18" i="4"/>
  <c r="AD18" i="4" s="1"/>
  <c r="AB18" i="4"/>
  <c r="AC17" i="4"/>
  <c r="AD17" i="4" s="1"/>
  <c r="AB17" i="4"/>
  <c r="AC16" i="4"/>
  <c r="AD16" i="4" s="1"/>
  <c r="AB16" i="4"/>
  <c r="AC15" i="4"/>
  <c r="AD15" i="4" s="1"/>
  <c r="AB15" i="4"/>
  <c r="AC14" i="4"/>
  <c r="AD14" i="4" s="1"/>
  <c r="AB14" i="4"/>
  <c r="AC13" i="4"/>
  <c r="AD13" i="4" s="1"/>
  <c r="AB13" i="4"/>
  <c r="AC12" i="4"/>
  <c r="AD12" i="4" s="1"/>
  <c r="AB12" i="4"/>
  <c r="AC11" i="4"/>
  <c r="AD11" i="4" s="1"/>
  <c r="AB11" i="4"/>
  <c r="AC10" i="4"/>
  <c r="AD10" i="4" s="1"/>
  <c r="AB10" i="4"/>
  <c r="AC9" i="4"/>
  <c r="AD9" i="4" s="1"/>
  <c r="AB9" i="4"/>
  <c r="AC8" i="4"/>
  <c r="AD8" i="4" s="1"/>
  <c r="AB8" i="4"/>
  <c r="AC7" i="4"/>
  <c r="AD7" i="4" s="1"/>
  <c r="AB7" i="4"/>
  <c r="AC6" i="4"/>
  <c r="AD6" i="4" s="1"/>
  <c r="AB6" i="4"/>
  <c r="AC5" i="4"/>
  <c r="AD5" i="4" s="1"/>
  <c r="AB5" i="4"/>
  <c r="P3" i="4"/>
  <c r="S3" i="4" s="1"/>
  <c r="P54" i="4"/>
  <c r="S54" i="4" s="1"/>
  <c r="P53" i="4"/>
  <c r="S53" i="4" s="1"/>
  <c r="P52" i="4"/>
  <c r="S52" i="4" s="1"/>
  <c r="P51" i="4"/>
  <c r="S51" i="4" s="1"/>
  <c r="P50" i="4"/>
  <c r="S50" i="4" s="1"/>
  <c r="P49" i="4"/>
  <c r="S49" i="4" s="1"/>
  <c r="P48" i="4"/>
  <c r="S48" i="4" s="1"/>
  <c r="P47" i="4"/>
  <c r="S47" i="4" s="1"/>
  <c r="P46" i="4"/>
  <c r="S46" i="4" s="1"/>
  <c r="P45" i="4"/>
  <c r="S45" i="4" s="1"/>
  <c r="P44" i="4"/>
  <c r="S44" i="4" s="1"/>
  <c r="P43" i="4"/>
  <c r="S43" i="4" s="1"/>
  <c r="P42" i="4"/>
  <c r="S42" i="4" s="1"/>
  <c r="P41" i="4"/>
  <c r="S41" i="4" s="1"/>
  <c r="P40" i="4"/>
  <c r="S40" i="4" s="1"/>
  <c r="P39" i="4"/>
  <c r="S39" i="4" s="1"/>
  <c r="P38" i="4"/>
  <c r="S38" i="4" s="1"/>
  <c r="P37" i="4"/>
  <c r="S37" i="4" s="1"/>
  <c r="P36" i="4"/>
  <c r="S36" i="4" s="1"/>
  <c r="P35" i="4"/>
  <c r="S35" i="4" s="1"/>
  <c r="P34" i="4"/>
  <c r="S34" i="4" s="1"/>
  <c r="P33" i="4"/>
  <c r="S33" i="4" s="1"/>
  <c r="P32" i="4"/>
  <c r="S32" i="4" s="1"/>
  <c r="P31" i="4"/>
  <c r="S31" i="4" s="1"/>
  <c r="P30" i="4"/>
  <c r="S30" i="4" s="1"/>
  <c r="P29" i="4"/>
  <c r="S29" i="4" s="1"/>
  <c r="P28" i="4"/>
  <c r="S28" i="4" s="1"/>
  <c r="P27" i="4"/>
  <c r="S27" i="4" s="1"/>
  <c r="P26" i="4"/>
  <c r="S26" i="4" s="1"/>
  <c r="P25" i="4"/>
  <c r="S25" i="4" s="1"/>
  <c r="P24" i="4"/>
  <c r="S24" i="4" s="1"/>
  <c r="P23" i="4"/>
  <c r="S23" i="4" s="1"/>
  <c r="P22" i="4"/>
  <c r="S22" i="4" s="1"/>
  <c r="P21" i="4"/>
  <c r="S21" i="4" s="1"/>
  <c r="P20" i="4"/>
  <c r="S20" i="4" s="1"/>
  <c r="P19" i="4"/>
  <c r="S19" i="4" s="1"/>
  <c r="P18" i="4"/>
  <c r="S18" i="4" s="1"/>
  <c r="P17" i="4"/>
  <c r="S17" i="4" s="1"/>
  <c r="P16" i="4"/>
  <c r="S16" i="4" s="1"/>
  <c r="P15" i="4"/>
  <c r="S15" i="4" s="1"/>
  <c r="P14" i="4"/>
  <c r="S14" i="4" s="1"/>
  <c r="P13" i="4"/>
  <c r="S13" i="4" s="1"/>
  <c r="P12" i="4"/>
  <c r="S12" i="4" s="1"/>
  <c r="P11" i="4"/>
  <c r="S11" i="4" s="1"/>
  <c r="P10" i="4"/>
  <c r="S10" i="4" s="1"/>
  <c r="P9" i="4"/>
  <c r="S9" i="4" s="1"/>
  <c r="P8" i="4"/>
  <c r="S8" i="4" s="1"/>
  <c r="P7" i="4"/>
  <c r="S7" i="4" s="1"/>
  <c r="P6" i="4"/>
  <c r="S6" i="4" s="1"/>
  <c r="P5" i="4"/>
  <c r="S5" i="4" s="1"/>
  <c r="P4" i="4"/>
  <c r="S4" i="4" s="1"/>
  <c r="P53" i="1"/>
  <c r="P52" i="1"/>
  <c r="P51" i="1"/>
  <c r="P50" i="1"/>
  <c r="V57" i="4" l="1"/>
  <c r="AD4" i="4"/>
  <c r="V59" i="4" s="1"/>
  <c r="V58" i="4"/>
  <c r="U57" i="4"/>
  <c r="U58" i="4"/>
  <c r="Z7" i="4"/>
  <c r="U59" i="4" s="1"/>
  <c r="U4" i="4"/>
  <c r="V4" i="4" s="1"/>
  <c r="T4" i="4"/>
  <c r="U5" i="4"/>
  <c r="V5" i="4" s="1"/>
  <c r="T5" i="4"/>
  <c r="U6" i="4"/>
  <c r="V6" i="4" s="1"/>
  <c r="T6" i="4"/>
  <c r="U7" i="4"/>
  <c r="V7" i="4" s="1"/>
  <c r="T7" i="4"/>
  <c r="U8" i="4"/>
  <c r="V8" i="4" s="1"/>
  <c r="T8" i="4"/>
  <c r="U9" i="4"/>
  <c r="V9" i="4" s="1"/>
  <c r="T9" i="4"/>
  <c r="U10" i="4"/>
  <c r="V10" i="4" s="1"/>
  <c r="T10" i="4"/>
  <c r="U11" i="4"/>
  <c r="V11" i="4" s="1"/>
  <c r="T11" i="4"/>
  <c r="U12" i="4"/>
  <c r="V12" i="4" s="1"/>
  <c r="T12" i="4"/>
  <c r="U13" i="4"/>
  <c r="V13" i="4" s="1"/>
  <c r="T13" i="4"/>
  <c r="U14" i="4"/>
  <c r="V14" i="4" s="1"/>
  <c r="T14" i="4"/>
  <c r="U15" i="4"/>
  <c r="V15" i="4" s="1"/>
  <c r="T15" i="4"/>
  <c r="U16" i="4"/>
  <c r="V16" i="4" s="1"/>
  <c r="T16" i="4"/>
  <c r="U17" i="4"/>
  <c r="V17" i="4" s="1"/>
  <c r="T17" i="4"/>
  <c r="U18" i="4"/>
  <c r="V18" i="4" s="1"/>
  <c r="T18" i="4"/>
  <c r="U19" i="4"/>
  <c r="V19" i="4" s="1"/>
  <c r="T19" i="4"/>
  <c r="U20" i="4"/>
  <c r="V20" i="4" s="1"/>
  <c r="T20" i="4"/>
  <c r="U21" i="4"/>
  <c r="V21" i="4" s="1"/>
  <c r="T21" i="4"/>
  <c r="U22" i="4"/>
  <c r="V22" i="4" s="1"/>
  <c r="T22" i="4"/>
  <c r="U23" i="4"/>
  <c r="V23" i="4" s="1"/>
  <c r="T23" i="4"/>
  <c r="U24" i="4"/>
  <c r="V24" i="4" s="1"/>
  <c r="T24" i="4"/>
  <c r="U25" i="4"/>
  <c r="V25" i="4" s="1"/>
  <c r="T25" i="4"/>
  <c r="U26" i="4"/>
  <c r="V26" i="4" s="1"/>
  <c r="T26" i="4"/>
  <c r="U27" i="4"/>
  <c r="V27" i="4" s="1"/>
  <c r="T27" i="4"/>
  <c r="U28" i="4"/>
  <c r="V28" i="4" s="1"/>
  <c r="T28" i="4"/>
  <c r="U29" i="4"/>
  <c r="V29" i="4" s="1"/>
  <c r="T29" i="4"/>
  <c r="U30" i="4"/>
  <c r="V30" i="4" s="1"/>
  <c r="T30" i="4"/>
  <c r="U31" i="4"/>
  <c r="V31" i="4" s="1"/>
  <c r="T31" i="4"/>
  <c r="U32" i="4"/>
  <c r="V32" i="4" s="1"/>
  <c r="T32" i="4"/>
  <c r="U33" i="4"/>
  <c r="V33" i="4" s="1"/>
  <c r="T33" i="4"/>
  <c r="U34" i="4"/>
  <c r="V34" i="4" s="1"/>
  <c r="T34" i="4"/>
  <c r="U35" i="4"/>
  <c r="V35" i="4" s="1"/>
  <c r="T35" i="4"/>
  <c r="U36" i="4"/>
  <c r="V36" i="4" s="1"/>
  <c r="T36" i="4"/>
  <c r="U37" i="4"/>
  <c r="V37" i="4" s="1"/>
  <c r="T37" i="4"/>
  <c r="U38" i="4"/>
  <c r="V38" i="4" s="1"/>
  <c r="T38" i="4"/>
  <c r="U39" i="4"/>
  <c r="V39" i="4" s="1"/>
  <c r="T39" i="4"/>
  <c r="U40" i="4"/>
  <c r="V40" i="4" s="1"/>
  <c r="T40" i="4"/>
  <c r="U41" i="4"/>
  <c r="V41" i="4" s="1"/>
  <c r="T41" i="4"/>
  <c r="U42" i="4"/>
  <c r="V42" i="4" s="1"/>
  <c r="T42" i="4"/>
  <c r="U43" i="4"/>
  <c r="V43" i="4" s="1"/>
  <c r="T43" i="4"/>
  <c r="U44" i="4"/>
  <c r="V44" i="4" s="1"/>
  <c r="T44" i="4"/>
  <c r="U45" i="4"/>
  <c r="V45" i="4" s="1"/>
  <c r="T45" i="4"/>
  <c r="U46" i="4"/>
  <c r="V46" i="4" s="1"/>
  <c r="T46" i="4"/>
  <c r="U47" i="4"/>
  <c r="V47" i="4" s="1"/>
  <c r="T47" i="4"/>
  <c r="U48" i="4"/>
  <c r="V48" i="4" s="1"/>
  <c r="T48" i="4"/>
  <c r="U49" i="4"/>
  <c r="V49" i="4" s="1"/>
  <c r="T49" i="4"/>
  <c r="U50" i="4"/>
  <c r="V50" i="4" s="1"/>
  <c r="T50" i="4"/>
  <c r="U51" i="4"/>
  <c r="V51" i="4" s="1"/>
  <c r="T51" i="4"/>
  <c r="U52" i="4"/>
  <c r="V52" i="4" s="1"/>
  <c r="T52" i="4"/>
  <c r="U53" i="4"/>
  <c r="V53" i="4" s="1"/>
  <c r="T53" i="4"/>
  <c r="U54" i="4"/>
  <c r="V54" i="4" s="1"/>
  <c r="T54" i="4"/>
  <c r="U3" i="4"/>
  <c r="T3" i="4"/>
  <c r="T57" i="4" s="1"/>
  <c r="T58" i="4" l="1"/>
  <c r="V3" i="4"/>
  <c r="T59" i="4" s="1"/>
</calcChain>
</file>

<file path=xl/sharedStrings.xml><?xml version="1.0" encoding="utf-8"?>
<sst xmlns="http://schemas.openxmlformats.org/spreadsheetml/2006/main" count="284" uniqueCount="78">
  <si>
    <t>Regression Error</t>
  </si>
  <si>
    <t>4-period moving avg error</t>
  </si>
  <si>
    <t>Naive prediction error</t>
  </si>
  <si>
    <t>Year</t>
  </si>
  <si>
    <t>Month</t>
  </si>
  <si>
    <t>Trend Dummy</t>
  </si>
  <si>
    <t xml:space="preserve"> May Dummy</t>
  </si>
  <si>
    <t>June Dummy</t>
  </si>
  <si>
    <t>July Dummy</t>
  </si>
  <si>
    <t>August Dummy</t>
  </si>
  <si>
    <t>September Dummy</t>
  </si>
  <si>
    <t>October Dummy</t>
  </si>
  <si>
    <t>November Dummy</t>
  </si>
  <si>
    <t>December Dummy</t>
  </si>
  <si>
    <t>January Dummy</t>
  </si>
  <si>
    <t>February Dummy</t>
  </si>
  <si>
    <t>March Dummy</t>
  </si>
  <si>
    <t>Sales</t>
  </si>
  <si>
    <t>Predicted(Regression Sales</t>
  </si>
  <si>
    <t>4-Period Moving Average</t>
  </si>
  <si>
    <t>Naive Prediction</t>
  </si>
  <si>
    <t>Error+S2:V54</t>
  </si>
  <si>
    <t>Squared Error</t>
  </si>
  <si>
    <t>Absolute Error</t>
  </si>
  <si>
    <t>Absolute % Error</t>
  </si>
  <si>
    <t>Error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</si>
  <si>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</si>
  <si>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</si>
  <si>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</si>
  <si>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</si>
  <si>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</si>
  <si>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</si>
  <si>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</si>
  <si>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</si>
  <si>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</si>
  <si>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</si>
  <si>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</si>
  <si>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</si>
  <si>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Regression</t>
  </si>
  <si>
    <t>4-pd mov</t>
  </si>
  <si>
    <t xml:space="preserve">Naive </t>
  </si>
  <si>
    <t>Intercept</t>
  </si>
  <si>
    <t>MSE</t>
  </si>
  <si>
    <t>MAE</t>
  </si>
  <si>
    <t>MSPA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</si>
  <si>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</si>
  <si>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</si>
  <si>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</si>
  <si>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</si>
  <si>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</si>
  <si>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</si>
  <si>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</si>
  <si>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</si>
  <si>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</si>
  <si>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</si>
  <si>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</si>
  <si>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</si>
  <si>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</si>
  <si>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</si>
  <si>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</si>
  <si>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</si>
  <si>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</si>
  <si>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</si>
  <si>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</si>
  <si>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</si>
  <si>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</si>
  <si>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</si>
  <si>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Sales</t>
  </si>
  <si>
    <t>County Wide Sales</t>
  </si>
  <si>
    <t>Superior Sales</t>
  </si>
  <si>
    <t>% of</t>
  </si>
  <si>
    <t>Month_Num</t>
  </si>
  <si>
    <t>SBS Projected</t>
  </si>
  <si>
    <t>County Actual</t>
  </si>
  <si>
    <t>County no fire</t>
  </si>
  <si>
    <t>Market Share</t>
  </si>
  <si>
    <t>Excess Claim Total</t>
  </si>
  <si>
    <t>Excess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</si>
</sst>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"/>
  </numFmts>
  <fonts count="9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2" fillId="0" borderId="0" xfId="0" applyFont="1" applyAlignment="1">
      <alignment horizontal="center" wrapText="1"/>
    </xf>
    <xf numFmtId="0" fontId="0" fillId="2" borderId="0" xfId="0" applyFill="1"/>
    <xf numFmtId="165" fontId="0" fillId="0" borderId="0" xfId="0" applyNumberFormat="1"/>
    <xf numFmtId="165" fontId="0" fillId="0" borderId="1" xfId="0" applyNumberFormat="1" applyBorder="1"/>
    <xf numFmtId="2" fontId="0" fillId="2" borderId="0" xfId="0" applyNumberFormat="1" applyFill="1"/>
    <xf numFmtId="0" fontId="2" fillId="0" borderId="0" xfId="0" applyFont="1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1" xfId="0" applyFont="1" applyBorder="1"/>
    <xf numFmtId="43" fontId="0" fillId="0" borderId="0" xfId="0" applyNumberFormat="1"/>
    <xf numFmtId="43" fontId="0" fillId="0" borderId="1" xfId="0" applyNumberFormat="1" applyBorder="1"/>
    <xf numFmtId="43" fontId="0" fillId="2" borderId="0" xfId="0" applyNumberFormat="1" applyFill="1"/>
    <xf numFmtId="0" fontId="0" fillId="4" borderId="0" xfId="0" applyFill="1" applyAlignment="1">
      <alignment wrapText="1"/>
    </xf>
    <xf numFmtId="0" fontId="6" fillId="0" borderId="0" xfId="0" applyFont="1" applyAlignment="1">
      <alignment wrapText="1"/>
    </xf>
    <xf numFmtId="164" fontId="0" fillId="2" borderId="0" xfId="0" applyNumberFormat="1" applyFill="1"/>
    <xf numFmtId="10" fontId="0" fillId="2" borderId="0" xfId="0" applyNumberFormat="1" applyFill="1"/>
    <xf numFmtId="0" fontId="0" fillId="2" borderId="0" xfId="0" applyFill="1" applyAlignment="1">
      <alignment wrapText="1"/>
    </xf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10" fontId="0" fillId="4" borderId="0" xfId="0" applyNumberFormat="1" applyFill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4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4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Predicted</a:t>
            </a:r>
          </a:p>
        </c:rich>
      </c:tx>
      <c:layout>
        <c:manualLayout>
          <c:xMode val="edge"/>
          <c:yMode val="edge"/>
          <c:x val="0.40949300087489071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'County-wide Sales'!$O$3:$O$54</c:f>
              <c:numCache>
                <c:formatCode>0.0</c:formatCode>
                <c:ptCount val="52"/>
                <c:pt idx="0">
                  <c:v>55.8</c:v>
                </c:pt>
                <c:pt idx="1">
                  <c:v>56.4</c:v>
                </c:pt>
                <c:pt idx="2">
                  <c:v>71.400000000000006</c:v>
                </c:pt>
                <c:pt idx="3">
                  <c:v>117.6</c:v>
                </c:pt>
                <c:pt idx="4">
                  <c:v>46.8</c:v>
                </c:pt>
                <c:pt idx="5">
                  <c:v>48</c:v>
                </c:pt>
                <c:pt idx="6">
                  <c:v>60</c:v>
                </c:pt>
                <c:pt idx="7">
                  <c:v>57.6</c:v>
                </c:pt>
                <c:pt idx="8">
                  <c:v>61.8</c:v>
                </c:pt>
                <c:pt idx="9">
                  <c:v>58.2</c:v>
                </c:pt>
                <c:pt idx="10">
                  <c:v>56.4</c:v>
                </c:pt>
                <c:pt idx="11">
                  <c:v>63</c:v>
                </c:pt>
                <c:pt idx="12">
                  <c:v>57.6</c:v>
                </c:pt>
                <c:pt idx="13">
                  <c:v>53.4</c:v>
                </c:pt>
                <c:pt idx="14">
                  <c:v>71.400000000000006</c:v>
                </c:pt>
                <c:pt idx="15">
                  <c:v>114</c:v>
                </c:pt>
                <c:pt idx="16">
                  <c:v>46.8</c:v>
                </c:pt>
                <c:pt idx="17">
                  <c:v>48.6</c:v>
                </c:pt>
                <c:pt idx="18">
                  <c:v>59.4</c:v>
                </c:pt>
                <c:pt idx="19">
                  <c:v>58.2</c:v>
                </c:pt>
                <c:pt idx="20">
                  <c:v>60.6</c:v>
                </c:pt>
                <c:pt idx="21">
                  <c:v>55.2</c:v>
                </c:pt>
                <c:pt idx="22">
                  <c:v>51</c:v>
                </c:pt>
                <c:pt idx="23">
                  <c:v>58.8</c:v>
                </c:pt>
                <c:pt idx="24">
                  <c:v>49.8</c:v>
                </c:pt>
                <c:pt idx="25">
                  <c:v>54.6</c:v>
                </c:pt>
                <c:pt idx="26">
                  <c:v>65.400000000000006</c:v>
                </c:pt>
                <c:pt idx="27">
                  <c:v>102</c:v>
                </c:pt>
                <c:pt idx="28">
                  <c:v>43.8</c:v>
                </c:pt>
                <c:pt idx="29">
                  <c:v>45.6</c:v>
                </c:pt>
                <c:pt idx="30">
                  <c:v>57.6</c:v>
                </c:pt>
                <c:pt idx="31">
                  <c:v>53.4</c:v>
                </c:pt>
                <c:pt idx="32">
                  <c:v>56.4</c:v>
                </c:pt>
                <c:pt idx="33">
                  <c:v>52.8</c:v>
                </c:pt>
                <c:pt idx="34">
                  <c:v>54</c:v>
                </c:pt>
                <c:pt idx="35">
                  <c:v>60.6</c:v>
                </c:pt>
                <c:pt idx="36">
                  <c:v>47.4</c:v>
                </c:pt>
                <c:pt idx="37">
                  <c:v>54.6</c:v>
                </c:pt>
                <c:pt idx="38">
                  <c:v>67.8</c:v>
                </c:pt>
                <c:pt idx="39">
                  <c:v>100.2</c:v>
                </c:pt>
                <c:pt idx="40">
                  <c:v>48</c:v>
                </c:pt>
                <c:pt idx="41">
                  <c:v>51.6</c:v>
                </c:pt>
                <c:pt idx="42">
                  <c:v>57.6</c:v>
                </c:pt>
                <c:pt idx="43">
                  <c:v>58.2</c:v>
                </c:pt>
                <c:pt idx="44">
                  <c:v>60</c:v>
                </c:pt>
                <c:pt idx="45">
                  <c:v>57</c:v>
                </c:pt>
                <c:pt idx="46">
                  <c:v>57.6</c:v>
                </c:pt>
                <c:pt idx="47">
                  <c:v>61.8</c:v>
                </c:pt>
                <c:pt idx="48">
                  <c:v>69</c:v>
                </c:pt>
                <c:pt idx="49">
                  <c:v>75</c:v>
                </c:pt>
                <c:pt idx="50">
                  <c:v>85.2</c:v>
                </c:pt>
                <c:pt idx="51">
                  <c:v>121.8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1-4572-8502-E515B672EC11}"/>
            </c:ext>
          </c:extLst>
        </c:ser>
        <c:ser>
          <c:idx val="1"/>
          <c:order val="1"/>
          <c:tx>
            <c:strRef>
              <c:f>{"Naive"}</c:f>
              <c:strCache>
                <c:ptCount val="1"/>
                <c:pt idx="0">
                  <c:v>Naive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'County-wide Sales'!R4:R54</c:f>
              <c:numCache>
                <c:formatCode>0.0</c:formatCode>
                <c:ptCount val="51"/>
                <c:pt idx="0">
                  <c:v>55.8</c:v>
                </c:pt>
                <c:pt idx="1">
                  <c:v>56.4</c:v>
                </c:pt>
                <c:pt idx="2">
                  <c:v>71.400000000000006</c:v>
                </c:pt>
                <c:pt idx="3">
                  <c:v>117.6</c:v>
                </c:pt>
                <c:pt idx="4">
                  <c:v>46.8</c:v>
                </c:pt>
                <c:pt idx="5">
                  <c:v>48</c:v>
                </c:pt>
                <c:pt idx="6">
                  <c:v>60</c:v>
                </c:pt>
                <c:pt idx="7">
                  <c:v>57.6</c:v>
                </c:pt>
                <c:pt idx="8">
                  <c:v>61.8</c:v>
                </c:pt>
                <c:pt idx="9">
                  <c:v>58.2</c:v>
                </c:pt>
                <c:pt idx="10">
                  <c:v>56.4</c:v>
                </c:pt>
                <c:pt idx="11">
                  <c:v>63</c:v>
                </c:pt>
                <c:pt idx="12">
                  <c:v>57.6</c:v>
                </c:pt>
                <c:pt idx="13">
                  <c:v>53.4</c:v>
                </c:pt>
                <c:pt idx="14">
                  <c:v>71.400000000000006</c:v>
                </c:pt>
                <c:pt idx="15">
                  <c:v>114</c:v>
                </c:pt>
                <c:pt idx="16">
                  <c:v>46.8</c:v>
                </c:pt>
                <c:pt idx="17">
                  <c:v>48.6</c:v>
                </c:pt>
                <c:pt idx="18">
                  <c:v>59.4</c:v>
                </c:pt>
                <c:pt idx="19">
                  <c:v>58.2</c:v>
                </c:pt>
                <c:pt idx="20">
                  <c:v>60.6</c:v>
                </c:pt>
                <c:pt idx="21">
                  <c:v>55.2</c:v>
                </c:pt>
                <c:pt idx="22">
                  <c:v>51</c:v>
                </c:pt>
                <c:pt idx="23">
                  <c:v>58.8</c:v>
                </c:pt>
                <c:pt idx="24">
                  <c:v>49.8</c:v>
                </c:pt>
                <c:pt idx="25">
                  <c:v>54.6</c:v>
                </c:pt>
                <c:pt idx="26">
                  <c:v>65.400000000000006</c:v>
                </c:pt>
                <c:pt idx="27">
                  <c:v>102</c:v>
                </c:pt>
                <c:pt idx="28">
                  <c:v>43.8</c:v>
                </c:pt>
                <c:pt idx="29">
                  <c:v>45.6</c:v>
                </c:pt>
                <c:pt idx="30">
                  <c:v>57.6</c:v>
                </c:pt>
                <c:pt idx="31">
                  <c:v>53.4</c:v>
                </c:pt>
                <c:pt idx="32">
                  <c:v>56.4</c:v>
                </c:pt>
                <c:pt idx="33">
                  <c:v>52.8</c:v>
                </c:pt>
                <c:pt idx="34">
                  <c:v>54</c:v>
                </c:pt>
                <c:pt idx="35">
                  <c:v>60.6</c:v>
                </c:pt>
                <c:pt idx="36">
                  <c:v>47.4</c:v>
                </c:pt>
                <c:pt idx="37">
                  <c:v>54.6</c:v>
                </c:pt>
                <c:pt idx="38">
                  <c:v>67.8</c:v>
                </c:pt>
                <c:pt idx="39">
                  <c:v>100.2</c:v>
                </c:pt>
                <c:pt idx="40">
                  <c:v>48</c:v>
                </c:pt>
                <c:pt idx="41">
                  <c:v>51.6</c:v>
                </c:pt>
                <c:pt idx="42">
                  <c:v>57.6</c:v>
                </c:pt>
                <c:pt idx="43">
                  <c:v>58.2</c:v>
                </c:pt>
                <c:pt idx="44">
                  <c:v>60</c:v>
                </c:pt>
                <c:pt idx="45">
                  <c:v>57</c:v>
                </c:pt>
                <c:pt idx="46">
                  <c:v>57.6</c:v>
                </c:pt>
                <c:pt idx="47">
                  <c:v>61.8</c:v>
                </c:pt>
                <c:pt idx="48">
                  <c:v>69</c:v>
                </c:pt>
                <c:pt idx="49">
                  <c:v>75</c:v>
                </c:pt>
                <c:pt idx="50">
                  <c:v>85.2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B3-455C-9808-998805FD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772936"/>
        <c:axId val="1195840520"/>
      </c:lineChart>
      <c:catAx>
        <c:axId val="1179772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840520"/>
        <c:crosses val="autoZero"/>
        <c:auto val="1"/>
        <c:lblAlgn val="ctr"/>
        <c:lblOffset val="100"/>
        <c:noMultiLvlLbl val="0"/>
      </c:catAx>
      <c:valAx>
        <c:axId val="119584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7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Superior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'Superior Store Sales'!$A$1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'Superior Store Sales'!$A$2:$A$49</c:f>
              <c:numCache>
                <c:formatCode>General</c:formatCode>
                <c:ptCount val="48"/>
                <c:pt idx="0">
                  <c:v>1</c:v>
                </c:pt>
                <c:pt idx="8">
                  <c:v>2</c:v>
                </c:pt>
                <c:pt idx="20">
                  <c:v>3</c:v>
                </c:pt>
                <c:pt idx="32">
                  <c:v>4</c:v>
                </c:pt>
                <c:pt idx="4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F-3F4C-8DBB-F268BF934107}"/>
            </c:ext>
          </c:extLst>
        </c:ser>
        <c:ser>
          <c:idx val="1"/>
          <c:order val="1"/>
          <c:tx>
            <c:strRef>
              <c:f>'Superior Store Sales'!$O$1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'Superior Store Sales'!$O$2:$O$49</c:f>
              <c:numCache>
                <c:formatCode>0.00</c:formatCode>
                <c:ptCount val="48"/>
                <c:pt idx="0">
                  <c:v>1.7115389999999997</c:v>
                </c:pt>
                <c:pt idx="1">
                  <c:v>1.9034215389999996</c:v>
                </c:pt>
                <c:pt idx="2">
                  <c:v>2.7474046601974589</c:v>
                </c:pt>
                <c:pt idx="3">
                  <c:v>4.2151404242499542</c:v>
                </c:pt>
                <c:pt idx="4">
                  <c:v>1.4565367555752566</c:v>
                </c:pt>
                <c:pt idx="5">
                  <c:v>1.80974189626172</c:v>
                </c:pt>
                <c:pt idx="6">
                  <c:v>2.042823582142089</c:v>
                </c:pt>
                <c:pt idx="7">
                  <c:v>2.0043732145312187</c:v>
                </c:pt>
                <c:pt idx="8">
                  <c:v>2.3388597934594815</c:v>
                </c:pt>
                <c:pt idx="9">
                  <c:v>2.2198803827594431</c:v>
                </c:pt>
                <c:pt idx="10">
                  <c:v>2.1511821481688012</c:v>
                </c:pt>
                <c:pt idx="11">
                  <c:v>2.4563742983137242</c:v>
                </c:pt>
                <c:pt idx="12">
                  <c:v>1.9223504390313546</c:v>
                </c:pt>
                <c:pt idx="13">
                  <c:v>2.1569955689096885</c:v>
                </c:pt>
                <c:pt idx="14">
                  <c:v>2.5947785794364173</c:v>
                </c:pt>
                <c:pt idx="15">
                  <c:v>4.2203100552566033</c:v>
                </c:pt>
                <c:pt idx="16">
                  <c:v>2.3455986183287578</c:v>
                </c:pt>
                <c:pt idx="17">
                  <c:v>1.9208533557970251</c:v>
                </c:pt>
                <c:pt idx="18">
                  <c:v>2.054823222280862</c:v>
                </c:pt>
                <c:pt idx="19">
                  <c:v>2.2704850573729898</c:v>
                </c:pt>
                <c:pt idx="20">
                  <c:v>2.4355798656860337</c:v>
                </c:pt>
                <c:pt idx="21">
                  <c:v>2.1827748281964112</c:v>
                </c:pt>
                <c:pt idx="22">
                  <c:v>2.3174571350373165</c:v>
                </c:pt>
                <c:pt idx="23">
                  <c:v>2.2582333439092768</c:v>
                </c:pt>
                <c:pt idx="24">
                  <c:v>1.9329874547088337</c:v>
                </c:pt>
                <c:pt idx="25">
                  <c:v>2.3441932055171342</c:v>
                </c:pt>
                <c:pt idx="26">
                  <c:v>2.8995796645012843</c:v>
                </c:pt>
                <c:pt idx="27">
                  <c:v>4.143054670051348</c:v>
                </c:pt>
                <c:pt idx="28">
                  <c:v>2.3710568560588241</c:v>
                </c:pt>
                <c:pt idx="29">
                  <c:v>2.0444371023317145</c:v>
                </c:pt>
                <c:pt idx="30">
                  <c:v>2.4884374731917722</c:v>
                </c:pt>
                <c:pt idx="31">
                  <c:v>2.5215532289042271</c:v>
                </c:pt>
                <c:pt idx="32">
                  <c:v>2.6474384289397217</c:v>
                </c:pt>
                <c:pt idx="33">
                  <c:v>2.4982554794953051</c:v>
                </c:pt>
                <c:pt idx="34">
                  <c:v>2.476768214042278</c:v>
                </c:pt>
                <c:pt idx="35">
                  <c:v>2.5822888598280382</c:v>
                </c:pt>
                <c:pt idx="36">
                  <c:v>2.1607364009543737</c:v>
                </c:pt>
                <c:pt idx="37">
                  <c:v>2.6283300965725793</c:v>
                </c:pt>
                <c:pt idx="38">
                  <c:v>3.0760495721136603</c:v>
                </c:pt>
                <c:pt idx="39">
                  <c:v>4.5093799234913297</c:v>
                </c:pt>
                <c:pt idx="40">
                  <c:v>2.6561844173520752</c:v>
                </c:pt>
                <c:pt idx="41">
                  <c:v>2.3677933445262247</c:v>
                </c:pt>
                <c:pt idx="42">
                  <c:v>2.79609496686958</c:v>
                </c:pt>
                <c:pt idx="43">
                  <c:v>2.5801324913764354</c:v>
                </c:pt>
                <c:pt idx="44">
                  <c:v>2.8427826963665241</c:v>
                </c:pt>
                <c:pt idx="45">
                  <c:v>2.47013137211722</c:v>
                </c:pt>
                <c:pt idx="46">
                  <c:v>2.4097632374318176</c:v>
                </c:pt>
                <c:pt idx="47">
                  <c:v>2.3284019109482599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F-3F4C-8DBB-F268BF934107}"/>
            </c:ext>
          </c:extLst>
        </c:ser>
        <c:ser>
          <c:idx val="2"/>
          <c:order val="2"/>
          <c:tx>
            <c:v>Predicted Sales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'Superior Store Sales'!$P$1:$P$53</c:f>
              <c:numCache>
                <c:formatCode>0.00</c:formatCode>
                <c:ptCount val="53"/>
                <c:pt idx="0" formatCode="General">
                  <c:v>0</c:v>
                </c:pt>
                <c:pt idx="1">
                  <c:v>1.6872118389897592</c:v>
                </c:pt>
                <c:pt idx="2">
                  <c:v>2.0135436178159689</c:v>
                </c:pt>
                <c:pt idx="3">
                  <c:v>2.5847616343783235</c:v>
                </c:pt>
                <c:pt idx="4">
                  <c:v>4.027279783578428</c:v>
                </c:pt>
                <c:pt idx="5">
                  <c:v>1.9626526771448471</c:v>
                </c:pt>
                <c:pt idx="6">
                  <c:v>1.7910149400452899</c:v>
                </c:pt>
                <c:pt idx="7">
                  <c:v>2.100853326437194</c:v>
                </c:pt>
                <c:pt idx="8">
                  <c:v>2.0994445133623367</c:v>
                </c:pt>
                <c:pt idx="9">
                  <c:v>2.3214737114290589</c:v>
                </c:pt>
                <c:pt idx="10">
                  <c:v>2.0980690309582135</c:v>
                </c:pt>
                <c:pt idx="11">
                  <c:v>2.0941011989861722</c:v>
                </c:pt>
                <c:pt idx="12">
                  <c:v>2.1616331185659434</c:v>
                </c:pt>
                <c:pt idx="13">
                  <c:v>1.8503394954456802</c:v>
                </c:pt>
                <c:pt idx="14">
                  <c:v>2.1766712742718899</c:v>
                </c:pt>
                <c:pt idx="15">
                  <c:v>2.7478892908342454</c:v>
                </c:pt>
                <c:pt idx="16">
                  <c:v>4.1904074400343498</c:v>
                </c:pt>
                <c:pt idx="17">
                  <c:v>2.1257803336007681</c:v>
                </c:pt>
                <c:pt idx="18">
                  <c:v>1.9541425965012109</c:v>
                </c:pt>
                <c:pt idx="19">
                  <c:v>2.263980982893115</c:v>
                </c:pt>
                <c:pt idx="20">
                  <c:v>2.2625721698182581</c:v>
                </c:pt>
                <c:pt idx="21">
                  <c:v>2.4846013678849803</c:v>
                </c:pt>
                <c:pt idx="22">
                  <c:v>2.2611966874141345</c:v>
                </c:pt>
                <c:pt idx="23">
                  <c:v>2.2572288554420932</c:v>
                </c:pt>
                <c:pt idx="24">
                  <c:v>2.3247607750218648</c:v>
                </c:pt>
                <c:pt idx="25">
                  <c:v>2.0134671519016019</c:v>
                </c:pt>
                <c:pt idx="26">
                  <c:v>2.3397989307278113</c:v>
                </c:pt>
                <c:pt idx="27">
                  <c:v>2.9110169472901664</c:v>
                </c:pt>
                <c:pt idx="28">
                  <c:v>4.3535350964902708</c:v>
                </c:pt>
                <c:pt idx="29">
                  <c:v>2.2889079900566891</c:v>
                </c:pt>
                <c:pt idx="30">
                  <c:v>2.1172702529571326</c:v>
                </c:pt>
                <c:pt idx="31">
                  <c:v>2.4271086393490364</c:v>
                </c:pt>
                <c:pt idx="32">
                  <c:v>2.4256998262741791</c:v>
                </c:pt>
                <c:pt idx="33">
                  <c:v>2.6477290243409013</c:v>
                </c:pt>
                <c:pt idx="34">
                  <c:v>2.4243243438700559</c:v>
                </c:pt>
                <c:pt idx="35">
                  <c:v>2.4203565118980146</c:v>
                </c:pt>
                <c:pt idx="36">
                  <c:v>2.4878884314777858</c:v>
                </c:pt>
                <c:pt idx="37">
                  <c:v>2.1765948083575228</c:v>
                </c:pt>
                <c:pt idx="38">
                  <c:v>2.5029265871837323</c:v>
                </c:pt>
                <c:pt idx="39">
                  <c:v>3.0741446037460873</c:v>
                </c:pt>
                <c:pt idx="40">
                  <c:v>4.5166627529461918</c:v>
                </c:pt>
                <c:pt idx="41">
                  <c:v>2.4520356465126105</c:v>
                </c:pt>
                <c:pt idx="42">
                  <c:v>2.2803979094130535</c:v>
                </c:pt>
                <c:pt idx="43">
                  <c:v>2.5902362958049578</c:v>
                </c:pt>
                <c:pt idx="44">
                  <c:v>2.5888274827301005</c:v>
                </c:pt>
                <c:pt idx="45">
                  <c:v>2.8108566807968227</c:v>
                </c:pt>
                <c:pt idx="46">
                  <c:v>2.5874520003259769</c:v>
                </c:pt>
                <c:pt idx="47">
                  <c:v>2.5834841683539356</c:v>
                </c:pt>
                <c:pt idx="48">
                  <c:v>2.6510160879337068</c:v>
                </c:pt>
                <c:pt idx="49">
                  <c:v>2.3397224648134438</c:v>
                </c:pt>
                <c:pt idx="50">
                  <c:v>2.6660542436396537</c:v>
                </c:pt>
                <c:pt idx="51">
                  <c:v>3.3596180025439493</c:v>
                </c:pt>
                <c:pt idx="52">
                  <c:v>4.9244818940859947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F30-D34A-A6C6-985170896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759520"/>
        <c:axId val="739761232"/>
      </c:lineChart>
      <c:catAx>
        <c:axId val="7397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61232"/>
        <c:crosses val="autoZero"/>
        <c:auto val="1"/>
        <c:lblAlgn val="ctr"/>
        <c:lblOffset val="100"/>
        <c:noMultiLvlLbl val="0"/>
      </c:catAx>
      <c:valAx>
        <c:axId val="7397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62</xdr:row>
      <xdr:rowOff>9525</xdr:rowOff>
    </xdr:from>
    <xdr:to>
      <xdr:col>20</xdr:col>
      <xdr:colOff>314325</xdr:colOff>
      <xdr:row>75</xdr:row>
      <xdr:rowOff>152400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A0B2EE2C-45BE-270C-897C-33B595A1F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2680</xdr:colOff>
      <xdr:row>2</xdr:row>
      <xdr:rowOff>179127</xdr:rowOff>
    </xdr:from>
    <xdr:to>
      <xdr:col>29</xdr:col>
      <xdr:colOff>570778</xdr:colOff>
      <xdr:row>16</xdr:row>
      <xdr:rowOff>112887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A6E7E9-B591-E00D-8CF5-BF8CE8F8B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15F3-E5D7-4A82-9184-05BC28618FE5}">
  <dimension ref="A1:AD99"/>
  <sheetViews>
    <sheetView zoomScale="165" workbookViewId="0">
      <selection activeCell="O3" sqref="O3:O54"/>
    </sheetView>
  </sheetViews>
  <sheetFormatPr baseColWidth="10" defaultColWidth="8.83203125" defaultRowHeight="15.75" customHeight="1" x14ac:dyDescent="0.2"/>
  <cols>
    <col min="2" max="14" width="9.5" customWidth="1"/>
    <col min="17" max="17" width="9.1640625" customWidth="1"/>
    <col min="20" max="20" width="14.6640625" bestFit="1" customWidth="1"/>
    <col min="22" max="22" width="10.5" bestFit="1" customWidth="1"/>
  </cols>
  <sheetData>
    <row r="1" spans="1:30" ht="15.75" customHeight="1" x14ac:dyDescent="0.2">
      <c r="S1" s="12"/>
      <c r="T1" s="12" t="s">
        <v>0</v>
      </c>
      <c r="U1" s="12"/>
      <c r="V1" s="12"/>
      <c r="W1" s="33"/>
      <c r="X1" s="33" t="s">
        <v>1</v>
      </c>
      <c r="Y1" s="33"/>
      <c r="Z1" s="33"/>
      <c r="AA1" s="35"/>
      <c r="AB1" s="35" t="s">
        <v>2</v>
      </c>
      <c r="AC1" s="35"/>
      <c r="AD1" s="35"/>
    </row>
    <row r="2" spans="1:30" ht="51" x14ac:dyDescent="0.2">
      <c r="A2" s="2" t="s">
        <v>3</v>
      </c>
      <c r="B2" s="2" t="s">
        <v>4</v>
      </c>
      <c r="C2" s="11" t="s">
        <v>5</v>
      </c>
      <c r="D2" s="6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6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16" t="s">
        <v>17</v>
      </c>
      <c r="P2" s="19" t="s">
        <v>18</v>
      </c>
      <c r="Q2" s="18" t="s">
        <v>19</v>
      </c>
      <c r="R2" s="28" t="s">
        <v>20</v>
      </c>
      <c r="S2" s="12" t="s">
        <v>21</v>
      </c>
      <c r="T2" s="32" t="s">
        <v>22</v>
      </c>
      <c r="U2" s="32" t="s">
        <v>23</v>
      </c>
      <c r="V2" s="32" t="s">
        <v>24</v>
      </c>
      <c r="W2" s="33" t="s">
        <v>25</v>
      </c>
      <c r="X2" s="18" t="s">
        <v>22</v>
      </c>
      <c r="Y2" s="18" t="s">
        <v>23</v>
      </c>
      <c r="Z2" s="18" t="s">
        <v>24</v>
      </c>
      <c r="AA2" s="35" t="s">
        <v>25</v>
      </c>
      <c r="AB2" s="28" t="s">
        <v>22</v>
      </c>
      <c r="AC2" s="28" t="s">
        <v>23</v>
      </c>
      <c r="AD2" s="28" t="s">
        <v>24</v>
      </c>
    </row>
    <row r="3" spans="1:30" ht="16" x14ac:dyDescent="0.2">
      <c r="A3" s="3">
        <v>1</v>
      </c>
      <c r="B3" t="s">
        <v>26</v>
      </c>
      <c r="C3">
        <v>1</v>
      </c>
      <c r="D3">
        <f>IF(B3="May", 1,0)</f>
        <v>1</v>
      </c>
      <c r="E3">
        <f>IF(B3="June",1,0)</f>
        <v>0</v>
      </c>
      <c r="F3">
        <f>IF(B3="July",1,0)</f>
        <v>0</v>
      </c>
      <c r="G3">
        <f>IF(B3="August",1,0)</f>
        <v>0</v>
      </c>
      <c r="H3">
        <f>IF(B3="September",1,0)</f>
        <v>0</v>
      </c>
      <c r="I3">
        <f>IF(B3="October",1,0)</f>
        <v>0</v>
      </c>
      <c r="J3">
        <f>IF(B3="November",1,0)</f>
        <v>0</v>
      </c>
      <c r="K3">
        <f>IF(B3="December",1,0)</f>
        <v>0</v>
      </c>
      <c r="L3">
        <f>IF(B3="January",1,0)</f>
        <v>0</v>
      </c>
      <c r="M3">
        <f>IF(B3="February",1,0)</f>
        <v>0</v>
      </c>
      <c r="N3">
        <f>IF(B3="March",1,0)</f>
        <v>0</v>
      </c>
      <c r="O3" s="5">
        <v>55.8</v>
      </c>
      <c r="P3">
        <f t="shared" ref="P3:P34" si="0">$A$58+$B$58*C3+$C$58*D3+$D$58*E3+$E$58*F3+$F$58*G3+$G$58*H3+$H$58*I3+$I$58*J3+$J$58*K3+$K$58*L3+$L$58*M3+$M$58*N3</f>
        <v>54.27</v>
      </c>
      <c r="S3" s="5">
        <f>O3-P3</f>
        <v>1.529999999999994</v>
      </c>
      <c r="T3" s="5">
        <f>S3^2</f>
        <v>2.3408999999999818</v>
      </c>
      <c r="U3">
        <f>ABS(S3)</f>
        <v>1.529999999999994</v>
      </c>
      <c r="V3" s="4">
        <f>U3/O3</f>
        <v>2.741935483870957E-2</v>
      </c>
      <c r="W3" s="5"/>
    </row>
    <row r="4" spans="1:30" ht="16" x14ac:dyDescent="0.2">
      <c r="A4" s="3"/>
      <c r="B4" t="s">
        <v>27</v>
      </c>
      <c r="C4">
        <v>2</v>
      </c>
      <c r="D4">
        <f t="shared" ref="D4:D54" si="1">IF(B4="May", 1,0)</f>
        <v>0</v>
      </c>
      <c r="E4">
        <f t="shared" ref="E4:E54" si="2">IF(B4="June",1,0)</f>
        <v>1</v>
      </c>
      <c r="F4">
        <f t="shared" ref="F4:F54" si="3">IF(B4="July",1,0)</f>
        <v>0</v>
      </c>
      <c r="G4">
        <f t="shared" ref="G4:G54" si="4">IF(B4="August",1,0)</f>
        <v>0</v>
      </c>
      <c r="H4">
        <f t="shared" ref="H4:H54" si="5">IF(B4="September",1,0)</f>
        <v>0</v>
      </c>
      <c r="I4">
        <f t="shared" ref="I4:I54" si="6">IF(B4="October",1,0)</f>
        <v>0</v>
      </c>
      <c r="J4">
        <f t="shared" ref="J4:J54" si="7">IF(B4="November",1,0)</f>
        <v>0</v>
      </c>
      <c r="K4">
        <f t="shared" ref="K4:K54" si="8">IF(B4="December",1,0)</f>
        <v>0</v>
      </c>
      <c r="L4">
        <f t="shared" ref="L4:L54" si="9">IF(B4="January",1,0)</f>
        <v>0</v>
      </c>
      <c r="M4">
        <f t="shared" ref="M4:M54" si="10">IF(B4="February",1,0)</f>
        <v>0</v>
      </c>
      <c r="N4">
        <f t="shared" ref="N4:N54" si="11">IF(B4="March",1,0)</f>
        <v>0</v>
      </c>
      <c r="O4" s="5">
        <v>56.4</v>
      </c>
      <c r="P4">
        <f t="shared" si="0"/>
        <v>57.149999999999991</v>
      </c>
      <c r="Q4" s="5"/>
      <c r="R4" s="5">
        <f>O3</f>
        <v>55.8</v>
      </c>
      <c r="S4" s="5">
        <f t="shared" ref="S4:S54" si="12">O4-P4</f>
        <v>-0.74999999999999289</v>
      </c>
      <c r="T4" s="5">
        <f t="shared" ref="T4:T54" si="13">S4^2</f>
        <v>0.56249999999998934</v>
      </c>
      <c r="U4">
        <f t="shared" ref="U4:U54" si="14">ABS(S4)</f>
        <v>0.74999999999999289</v>
      </c>
      <c r="V4" s="4">
        <f t="shared" ref="V4:V54" si="15">U4/O4</f>
        <v>1.3297872340425407E-2</v>
      </c>
      <c r="W4" s="5"/>
      <c r="AA4" s="5">
        <f>O4-R4</f>
        <v>0.60000000000000142</v>
      </c>
      <c r="AB4" s="5">
        <f>AA4^2</f>
        <v>0.36000000000000171</v>
      </c>
      <c r="AC4">
        <f>ABS(AA4)</f>
        <v>0.60000000000000142</v>
      </c>
      <c r="AD4" s="4">
        <f>AC4/O4</f>
        <v>1.0638297872340451E-2</v>
      </c>
    </row>
    <row r="5" spans="1:30" ht="16" x14ac:dyDescent="0.2">
      <c r="A5" s="3"/>
      <c r="B5" t="s">
        <v>28</v>
      </c>
      <c r="C5">
        <v>3</v>
      </c>
      <c r="D5">
        <f t="shared" si="1"/>
        <v>0</v>
      </c>
      <c r="E5">
        <f t="shared" si="2"/>
        <v>0</v>
      </c>
      <c r="F5">
        <f t="shared" si="3"/>
        <v>1</v>
      </c>
      <c r="G5">
        <f t="shared" si="4"/>
        <v>0</v>
      </c>
      <c r="H5">
        <f t="shared" si="5"/>
        <v>0</v>
      </c>
      <c r="I5">
        <f t="shared" si="6"/>
        <v>0</v>
      </c>
      <c r="J5">
        <f t="shared" si="7"/>
        <v>0</v>
      </c>
      <c r="K5">
        <f t="shared" si="8"/>
        <v>0</v>
      </c>
      <c r="L5">
        <f t="shared" si="9"/>
        <v>0</v>
      </c>
      <c r="M5">
        <f t="shared" si="10"/>
        <v>0</v>
      </c>
      <c r="N5">
        <f t="shared" si="11"/>
        <v>0</v>
      </c>
      <c r="O5" s="5">
        <v>71.400000000000006</v>
      </c>
      <c r="P5">
        <f t="shared" si="0"/>
        <v>70.589999999999989</v>
      </c>
      <c r="Q5" s="5"/>
      <c r="R5" s="5">
        <f t="shared" ref="R5:R54" si="16">O4</f>
        <v>56.4</v>
      </c>
      <c r="S5" s="5">
        <f t="shared" si="12"/>
        <v>0.81000000000001648</v>
      </c>
      <c r="T5" s="5">
        <f t="shared" si="13"/>
        <v>0.65610000000002666</v>
      </c>
      <c r="U5">
        <f t="shared" si="14"/>
        <v>0.81000000000001648</v>
      </c>
      <c r="V5" s="4">
        <f t="shared" si="15"/>
        <v>1.1344537815126281E-2</v>
      </c>
      <c r="W5" s="5"/>
      <c r="AA5" s="5">
        <f t="shared" ref="AA5:AA54" si="17">O5-R5</f>
        <v>15.000000000000007</v>
      </c>
      <c r="AB5" s="5">
        <f t="shared" ref="AB5:AB54" si="18">AA5^2</f>
        <v>225.00000000000023</v>
      </c>
      <c r="AC5">
        <f t="shared" ref="AC5:AC54" si="19">ABS(AA5)</f>
        <v>15.000000000000007</v>
      </c>
      <c r="AD5" s="4">
        <f t="shared" ref="AD5:AD54" si="20">AC5/O5</f>
        <v>0.21008403361344546</v>
      </c>
    </row>
    <row r="6" spans="1:30" ht="16" x14ac:dyDescent="0.2">
      <c r="A6" s="3"/>
      <c r="B6" t="s">
        <v>29</v>
      </c>
      <c r="C6">
        <v>4</v>
      </c>
      <c r="D6">
        <f t="shared" si="1"/>
        <v>0</v>
      </c>
      <c r="E6">
        <f t="shared" si="2"/>
        <v>0</v>
      </c>
      <c r="F6">
        <f t="shared" si="3"/>
        <v>0</v>
      </c>
      <c r="G6">
        <f t="shared" si="4"/>
        <v>1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8"/>
        <v>0</v>
      </c>
      <c r="L6">
        <f t="shared" si="9"/>
        <v>0</v>
      </c>
      <c r="M6">
        <f t="shared" si="10"/>
        <v>0</v>
      </c>
      <c r="N6">
        <f t="shared" si="11"/>
        <v>0</v>
      </c>
      <c r="O6" s="5">
        <v>117.6</v>
      </c>
      <c r="P6">
        <f t="shared" si="0"/>
        <v>109.47</v>
      </c>
      <c r="Q6" s="5"/>
      <c r="R6" s="5">
        <f t="shared" si="16"/>
        <v>71.400000000000006</v>
      </c>
      <c r="S6" s="5">
        <f t="shared" si="12"/>
        <v>8.1299999999999955</v>
      </c>
      <c r="T6" s="5">
        <f t="shared" si="13"/>
        <v>66.09689999999992</v>
      </c>
      <c r="U6">
        <f t="shared" si="14"/>
        <v>8.1299999999999955</v>
      </c>
      <c r="V6" s="4">
        <f t="shared" si="15"/>
        <v>6.9132653061224458E-2</v>
      </c>
      <c r="W6" s="5"/>
      <c r="AA6" s="5">
        <f t="shared" si="17"/>
        <v>46.199999999999989</v>
      </c>
      <c r="AB6" s="5">
        <f t="shared" si="18"/>
        <v>2134.4399999999991</v>
      </c>
      <c r="AC6">
        <f t="shared" si="19"/>
        <v>46.199999999999989</v>
      </c>
      <c r="AD6" s="4">
        <f t="shared" si="20"/>
        <v>0.39285714285714279</v>
      </c>
    </row>
    <row r="7" spans="1:30" ht="16" x14ac:dyDescent="0.2">
      <c r="B7" t="s">
        <v>30</v>
      </c>
      <c r="C7">
        <v>5</v>
      </c>
      <c r="D7">
        <f t="shared" si="1"/>
        <v>0</v>
      </c>
      <c r="E7">
        <f t="shared" si="2"/>
        <v>0</v>
      </c>
      <c r="F7">
        <f t="shared" si="3"/>
        <v>0</v>
      </c>
      <c r="G7">
        <f t="shared" si="4"/>
        <v>0</v>
      </c>
      <c r="H7">
        <f t="shared" si="5"/>
        <v>1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0</v>
      </c>
      <c r="M7">
        <f t="shared" si="10"/>
        <v>0</v>
      </c>
      <c r="N7">
        <f t="shared" si="11"/>
        <v>0</v>
      </c>
      <c r="O7" s="5">
        <v>46.8</v>
      </c>
      <c r="P7">
        <f t="shared" si="0"/>
        <v>45.112499999999997</v>
      </c>
      <c r="Q7" s="5">
        <f t="shared" ref="Q7:Q54" si="21">AVERAGE(O3:O6)</f>
        <v>75.3</v>
      </c>
      <c r="R7" s="5">
        <f t="shared" si="16"/>
        <v>117.6</v>
      </c>
      <c r="S7" s="5">
        <f t="shared" si="12"/>
        <v>1.6875</v>
      </c>
      <c r="T7" s="5">
        <f t="shared" si="13"/>
        <v>2.84765625</v>
      </c>
      <c r="U7">
        <f t="shared" si="14"/>
        <v>1.6875</v>
      </c>
      <c r="V7" s="4">
        <f t="shared" si="15"/>
        <v>3.6057692307692311E-2</v>
      </c>
      <c r="W7" s="5">
        <f>O7-Q7</f>
        <v>-28.5</v>
      </c>
      <c r="X7" s="5">
        <f>W7^2</f>
        <v>812.25</v>
      </c>
      <c r="Y7">
        <f>ABS(W7)</f>
        <v>28.5</v>
      </c>
      <c r="Z7" s="4">
        <f>Y7/O7</f>
        <v>0.60897435897435903</v>
      </c>
      <c r="AA7" s="5">
        <f t="shared" si="17"/>
        <v>-70.8</v>
      </c>
      <c r="AB7" s="5">
        <f t="shared" si="18"/>
        <v>5012.6399999999994</v>
      </c>
      <c r="AC7">
        <f t="shared" si="19"/>
        <v>70.8</v>
      </c>
      <c r="AD7" s="4">
        <f t="shared" si="20"/>
        <v>1.5128205128205128</v>
      </c>
    </row>
    <row r="8" spans="1:30" ht="16" x14ac:dyDescent="0.2">
      <c r="A8" s="3"/>
      <c r="B8" t="s">
        <v>31</v>
      </c>
      <c r="C8">
        <v>6</v>
      </c>
      <c r="D8">
        <f t="shared" si="1"/>
        <v>0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0</v>
      </c>
      <c r="I8">
        <f t="shared" si="6"/>
        <v>1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  <c r="N8">
        <f t="shared" si="11"/>
        <v>0</v>
      </c>
      <c r="O8" s="5">
        <v>48</v>
      </c>
      <c r="P8">
        <f t="shared" si="0"/>
        <v>47.212499999999999</v>
      </c>
      <c r="Q8" s="5">
        <f t="shared" si="21"/>
        <v>73.05</v>
      </c>
      <c r="R8" s="5">
        <f t="shared" si="16"/>
        <v>46.8</v>
      </c>
      <c r="S8" s="5">
        <f t="shared" si="12"/>
        <v>0.78750000000000142</v>
      </c>
      <c r="T8" s="5">
        <f t="shared" si="13"/>
        <v>0.62015625000000218</v>
      </c>
      <c r="U8">
        <f t="shared" si="14"/>
        <v>0.78750000000000142</v>
      </c>
      <c r="V8" s="4">
        <f t="shared" si="15"/>
        <v>1.6406250000000028E-2</v>
      </c>
      <c r="W8" s="5">
        <f t="shared" ref="W8:W54" si="22">O8-Q8</f>
        <v>-25.049999999999997</v>
      </c>
      <c r="X8" s="5">
        <f t="shared" ref="X8:X54" si="23">W8^2</f>
        <v>627.50249999999983</v>
      </c>
      <c r="Y8">
        <f t="shared" ref="Y8:Y54" si="24">ABS(W8)</f>
        <v>25.049999999999997</v>
      </c>
      <c r="Z8" s="4">
        <f t="shared" ref="Z8:Z54" si="25">Y8/O8</f>
        <v>0.52187499999999998</v>
      </c>
      <c r="AA8" s="5">
        <f t="shared" si="17"/>
        <v>1.2000000000000028</v>
      </c>
      <c r="AB8" s="5">
        <f t="shared" si="18"/>
        <v>1.4400000000000068</v>
      </c>
      <c r="AC8">
        <f t="shared" si="19"/>
        <v>1.2000000000000028</v>
      </c>
      <c r="AD8" s="4">
        <f t="shared" si="20"/>
        <v>2.500000000000006E-2</v>
      </c>
    </row>
    <row r="9" spans="1:30" ht="16" x14ac:dyDescent="0.2">
      <c r="A9" s="3"/>
      <c r="B9" t="s">
        <v>32</v>
      </c>
      <c r="C9">
        <v>7</v>
      </c>
      <c r="D9">
        <f t="shared" si="1"/>
        <v>0</v>
      </c>
      <c r="E9">
        <f t="shared" si="2"/>
        <v>0</v>
      </c>
      <c r="F9">
        <f t="shared" si="3"/>
        <v>0</v>
      </c>
      <c r="G9">
        <f t="shared" si="4"/>
        <v>0</v>
      </c>
      <c r="H9">
        <f t="shared" si="5"/>
        <v>0</v>
      </c>
      <c r="I9">
        <f t="shared" si="6"/>
        <v>0</v>
      </c>
      <c r="J9">
        <f t="shared" si="7"/>
        <v>1</v>
      </c>
      <c r="K9">
        <f t="shared" si="8"/>
        <v>0</v>
      </c>
      <c r="L9">
        <f t="shared" si="9"/>
        <v>0</v>
      </c>
      <c r="M9">
        <f t="shared" si="10"/>
        <v>0</v>
      </c>
      <c r="N9">
        <f t="shared" si="11"/>
        <v>0</v>
      </c>
      <c r="O9" s="5">
        <v>60</v>
      </c>
      <c r="P9">
        <f t="shared" si="0"/>
        <v>57.412500000000001</v>
      </c>
      <c r="Q9" s="5">
        <f t="shared" si="21"/>
        <v>70.95</v>
      </c>
      <c r="R9" s="5">
        <f t="shared" si="16"/>
        <v>48</v>
      </c>
      <c r="S9" s="5">
        <f t="shared" si="12"/>
        <v>2.5874999999999986</v>
      </c>
      <c r="T9" s="5">
        <f t="shared" si="13"/>
        <v>6.695156249999993</v>
      </c>
      <c r="U9">
        <f t="shared" si="14"/>
        <v>2.5874999999999986</v>
      </c>
      <c r="V9" s="4">
        <f t="shared" si="15"/>
        <v>4.3124999999999976E-2</v>
      </c>
      <c r="W9" s="5">
        <f t="shared" si="22"/>
        <v>-10.950000000000003</v>
      </c>
      <c r="X9" s="5">
        <f t="shared" si="23"/>
        <v>119.90250000000006</v>
      </c>
      <c r="Y9">
        <f t="shared" si="24"/>
        <v>10.950000000000003</v>
      </c>
      <c r="Z9" s="4">
        <f t="shared" si="25"/>
        <v>0.18250000000000005</v>
      </c>
      <c r="AA9" s="5">
        <f t="shared" si="17"/>
        <v>12</v>
      </c>
      <c r="AB9" s="5">
        <f t="shared" si="18"/>
        <v>144</v>
      </c>
      <c r="AC9">
        <f t="shared" si="19"/>
        <v>12</v>
      </c>
      <c r="AD9" s="4">
        <f t="shared" si="20"/>
        <v>0.2</v>
      </c>
    </row>
    <row r="10" spans="1:30" ht="16" x14ac:dyDescent="0.2">
      <c r="A10" s="3"/>
      <c r="B10" t="s">
        <v>33</v>
      </c>
      <c r="C10">
        <v>8</v>
      </c>
      <c r="D10">
        <f t="shared" si="1"/>
        <v>0</v>
      </c>
      <c r="E10">
        <f t="shared" si="2"/>
        <v>0</v>
      </c>
      <c r="F10">
        <f t="shared" si="3"/>
        <v>0</v>
      </c>
      <c r="G10">
        <f t="shared" si="4"/>
        <v>0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1</v>
      </c>
      <c r="L10">
        <f t="shared" si="9"/>
        <v>0</v>
      </c>
      <c r="M10">
        <f t="shared" si="10"/>
        <v>0</v>
      </c>
      <c r="N10">
        <f t="shared" si="11"/>
        <v>0</v>
      </c>
      <c r="O10" s="5">
        <v>57.6</v>
      </c>
      <c r="P10">
        <f t="shared" si="0"/>
        <v>55.612499999999997</v>
      </c>
      <c r="Q10" s="5">
        <f t="shared" si="21"/>
        <v>68.099999999999994</v>
      </c>
      <c r="R10" s="5">
        <f t="shared" si="16"/>
        <v>60</v>
      </c>
      <c r="S10" s="5">
        <f t="shared" si="12"/>
        <v>1.9875000000000043</v>
      </c>
      <c r="T10" s="5">
        <f t="shared" si="13"/>
        <v>3.9501562500000169</v>
      </c>
      <c r="U10">
        <f t="shared" si="14"/>
        <v>1.9875000000000043</v>
      </c>
      <c r="V10" s="4">
        <f t="shared" si="15"/>
        <v>3.4505208333333405E-2</v>
      </c>
      <c r="W10" s="5">
        <f t="shared" si="22"/>
        <v>-10.499999999999993</v>
      </c>
      <c r="X10" s="5">
        <f t="shared" si="23"/>
        <v>110.24999999999986</v>
      </c>
      <c r="Y10">
        <f t="shared" si="24"/>
        <v>10.499999999999993</v>
      </c>
      <c r="Z10" s="4">
        <f t="shared" si="25"/>
        <v>0.18229166666666655</v>
      </c>
      <c r="AA10" s="5">
        <f t="shared" si="17"/>
        <v>-2.3999999999999986</v>
      </c>
      <c r="AB10" s="5">
        <f t="shared" si="18"/>
        <v>5.7599999999999936</v>
      </c>
      <c r="AC10">
        <f t="shared" si="19"/>
        <v>2.3999999999999986</v>
      </c>
      <c r="AD10" s="4">
        <f t="shared" si="20"/>
        <v>4.1666666666666644E-2</v>
      </c>
    </row>
    <row r="11" spans="1:30" ht="16" x14ac:dyDescent="0.2">
      <c r="A11" s="3">
        <v>2</v>
      </c>
      <c r="B11" t="s">
        <v>34</v>
      </c>
      <c r="C11">
        <v>9</v>
      </c>
      <c r="D11">
        <f t="shared" si="1"/>
        <v>0</v>
      </c>
      <c r="E11">
        <f t="shared" si="2"/>
        <v>0</v>
      </c>
      <c r="F11">
        <f t="shared" si="3"/>
        <v>0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1</v>
      </c>
      <c r="M11">
        <f t="shared" si="10"/>
        <v>0</v>
      </c>
      <c r="N11">
        <f t="shared" si="11"/>
        <v>0</v>
      </c>
      <c r="O11" s="5">
        <v>61.8</v>
      </c>
      <c r="P11">
        <f t="shared" si="0"/>
        <v>58.462499999999991</v>
      </c>
      <c r="Q11" s="5">
        <f t="shared" si="21"/>
        <v>53.1</v>
      </c>
      <c r="R11" s="5">
        <f t="shared" si="16"/>
        <v>57.6</v>
      </c>
      <c r="S11" s="5">
        <f t="shared" si="12"/>
        <v>3.3375000000000057</v>
      </c>
      <c r="T11" s="5">
        <f t="shared" si="13"/>
        <v>11.138906250000037</v>
      </c>
      <c r="U11">
        <f t="shared" si="14"/>
        <v>3.3375000000000057</v>
      </c>
      <c r="V11" s="4">
        <f t="shared" si="15"/>
        <v>5.4004854368932133E-2</v>
      </c>
      <c r="W11" s="5">
        <f t="shared" si="22"/>
        <v>8.6999999999999957</v>
      </c>
      <c r="X11" s="5">
        <f t="shared" si="23"/>
        <v>75.689999999999927</v>
      </c>
      <c r="Y11">
        <f t="shared" si="24"/>
        <v>8.6999999999999957</v>
      </c>
      <c r="Z11" s="4">
        <f t="shared" si="25"/>
        <v>0.14077669902912615</v>
      </c>
      <c r="AA11" s="5">
        <f t="shared" si="17"/>
        <v>4.1999999999999957</v>
      </c>
      <c r="AB11" s="5">
        <f t="shared" si="18"/>
        <v>17.639999999999965</v>
      </c>
      <c r="AC11">
        <f t="shared" si="19"/>
        <v>4.1999999999999957</v>
      </c>
      <c r="AD11" s="4">
        <f t="shared" si="20"/>
        <v>6.7961165048543618E-2</v>
      </c>
    </row>
    <row r="12" spans="1:30" ht="16" x14ac:dyDescent="0.2">
      <c r="A12" s="3"/>
      <c r="B12" t="s">
        <v>35</v>
      </c>
      <c r="C12">
        <v>10</v>
      </c>
      <c r="D12">
        <f t="shared" si="1"/>
        <v>0</v>
      </c>
      <c r="E12">
        <f t="shared" si="2"/>
        <v>0</v>
      </c>
      <c r="F12">
        <f t="shared" si="3"/>
        <v>0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1</v>
      </c>
      <c r="N12">
        <f t="shared" si="11"/>
        <v>0</v>
      </c>
      <c r="O12" s="5">
        <v>58.2</v>
      </c>
      <c r="P12">
        <f t="shared" si="0"/>
        <v>54.5625</v>
      </c>
      <c r="Q12" s="5">
        <f t="shared" si="21"/>
        <v>56.849999999999994</v>
      </c>
      <c r="R12" s="5">
        <f t="shared" si="16"/>
        <v>61.8</v>
      </c>
      <c r="S12" s="5">
        <f t="shared" si="12"/>
        <v>3.6375000000000028</v>
      </c>
      <c r="T12" s="5">
        <f t="shared" si="13"/>
        <v>13.23140625000002</v>
      </c>
      <c r="U12">
        <f t="shared" si="14"/>
        <v>3.6375000000000028</v>
      </c>
      <c r="V12" s="4">
        <f t="shared" si="15"/>
        <v>6.2500000000000042E-2</v>
      </c>
      <c r="W12" s="5">
        <f t="shared" si="22"/>
        <v>1.3500000000000085</v>
      </c>
      <c r="X12" s="5">
        <f t="shared" si="23"/>
        <v>1.8225000000000231</v>
      </c>
      <c r="Y12">
        <f t="shared" si="24"/>
        <v>1.3500000000000085</v>
      </c>
      <c r="Z12" s="4">
        <f t="shared" si="25"/>
        <v>2.319587628865994E-2</v>
      </c>
      <c r="AA12" s="5">
        <f t="shared" si="17"/>
        <v>-3.5999999999999943</v>
      </c>
      <c r="AB12" s="5">
        <f t="shared" si="18"/>
        <v>12.959999999999958</v>
      </c>
      <c r="AC12">
        <f t="shared" si="19"/>
        <v>3.5999999999999943</v>
      </c>
      <c r="AD12" s="4">
        <f t="shared" si="20"/>
        <v>6.1855670103092682E-2</v>
      </c>
    </row>
    <row r="13" spans="1:30" ht="16" x14ac:dyDescent="0.2">
      <c r="A13" s="3"/>
      <c r="B13" t="s">
        <v>36</v>
      </c>
      <c r="C13">
        <v>11</v>
      </c>
      <c r="D13">
        <f t="shared" si="1"/>
        <v>0</v>
      </c>
      <c r="E13">
        <f t="shared" si="2"/>
        <v>0</v>
      </c>
      <c r="F13">
        <f t="shared" si="3"/>
        <v>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0</v>
      </c>
      <c r="M13">
        <f t="shared" si="10"/>
        <v>0</v>
      </c>
      <c r="N13">
        <f t="shared" si="11"/>
        <v>1</v>
      </c>
      <c r="O13" s="5">
        <v>56.4</v>
      </c>
      <c r="P13">
        <f t="shared" si="0"/>
        <v>53.512499999999996</v>
      </c>
      <c r="Q13" s="5">
        <f t="shared" si="21"/>
        <v>59.399999999999991</v>
      </c>
      <c r="R13" s="5">
        <f t="shared" si="16"/>
        <v>58.2</v>
      </c>
      <c r="S13" s="5">
        <f t="shared" si="12"/>
        <v>2.8875000000000028</v>
      </c>
      <c r="T13" s="5">
        <f t="shared" si="13"/>
        <v>8.3376562500000162</v>
      </c>
      <c r="U13">
        <f t="shared" si="14"/>
        <v>2.8875000000000028</v>
      </c>
      <c r="V13" s="4">
        <f t="shared" si="15"/>
        <v>5.1196808510638347E-2</v>
      </c>
      <c r="W13" s="5">
        <f t="shared" si="22"/>
        <v>-2.9999999999999929</v>
      </c>
      <c r="X13" s="5">
        <f t="shared" si="23"/>
        <v>8.9999999999999574</v>
      </c>
      <c r="Y13">
        <f t="shared" si="24"/>
        <v>2.9999999999999929</v>
      </c>
      <c r="Z13" s="4">
        <f t="shared" si="25"/>
        <v>5.3191489361702003E-2</v>
      </c>
      <c r="AA13" s="5">
        <f t="shared" si="17"/>
        <v>-1.8000000000000043</v>
      </c>
      <c r="AB13" s="5">
        <f t="shared" si="18"/>
        <v>3.2400000000000153</v>
      </c>
      <c r="AC13">
        <f t="shared" si="19"/>
        <v>1.8000000000000043</v>
      </c>
      <c r="AD13" s="4">
        <f t="shared" si="20"/>
        <v>3.191489361702135E-2</v>
      </c>
    </row>
    <row r="14" spans="1:30" ht="16" x14ac:dyDescent="0.2">
      <c r="A14" s="3"/>
      <c r="B14" t="s">
        <v>37</v>
      </c>
      <c r="C14">
        <v>12</v>
      </c>
      <c r="D14">
        <f t="shared" si="1"/>
        <v>0</v>
      </c>
      <c r="E14">
        <f t="shared" si="2"/>
        <v>0</v>
      </c>
      <c r="F14">
        <f t="shared" si="3"/>
        <v>0</v>
      </c>
      <c r="G14">
        <f t="shared" si="4"/>
        <v>0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  <c r="O14" s="5">
        <v>63</v>
      </c>
      <c r="P14">
        <f t="shared" si="0"/>
        <v>59.812499999999993</v>
      </c>
      <c r="Q14" s="5">
        <f t="shared" si="21"/>
        <v>58.500000000000007</v>
      </c>
      <c r="R14" s="5">
        <f t="shared" si="16"/>
        <v>56.4</v>
      </c>
      <c r="S14" s="5">
        <f t="shared" si="12"/>
        <v>3.1875000000000071</v>
      </c>
      <c r="T14" s="5">
        <f t="shared" si="13"/>
        <v>10.160156250000046</v>
      </c>
      <c r="U14">
        <f t="shared" si="14"/>
        <v>3.1875000000000071</v>
      </c>
      <c r="V14" s="4">
        <f t="shared" si="15"/>
        <v>5.0595238095238207E-2</v>
      </c>
      <c r="W14" s="5">
        <f t="shared" si="22"/>
        <v>4.4999999999999929</v>
      </c>
      <c r="X14" s="5">
        <f t="shared" si="23"/>
        <v>20.249999999999936</v>
      </c>
      <c r="Y14">
        <f t="shared" si="24"/>
        <v>4.4999999999999929</v>
      </c>
      <c r="Z14" s="4">
        <f t="shared" si="25"/>
        <v>7.1428571428571314E-2</v>
      </c>
      <c r="AA14" s="5">
        <f t="shared" si="17"/>
        <v>6.6000000000000014</v>
      </c>
      <c r="AB14" s="5">
        <f t="shared" si="18"/>
        <v>43.560000000000016</v>
      </c>
      <c r="AC14">
        <f t="shared" si="19"/>
        <v>6.6000000000000014</v>
      </c>
      <c r="AD14" s="4">
        <f t="shared" si="20"/>
        <v>0.10476190476190478</v>
      </c>
    </row>
    <row r="15" spans="1:30" ht="16" x14ac:dyDescent="0.2">
      <c r="A15" s="3"/>
      <c r="B15" t="s">
        <v>26</v>
      </c>
      <c r="C15">
        <v>13</v>
      </c>
      <c r="D15">
        <f t="shared" si="1"/>
        <v>1</v>
      </c>
      <c r="E15">
        <f t="shared" si="2"/>
        <v>0</v>
      </c>
      <c r="F15">
        <f t="shared" si="3"/>
        <v>0</v>
      </c>
      <c r="G15">
        <f t="shared" si="4"/>
        <v>0</v>
      </c>
      <c r="H15">
        <f t="shared" si="5"/>
        <v>0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0</v>
      </c>
      <c r="O15" s="5">
        <v>57.6</v>
      </c>
      <c r="P15">
        <f t="shared" si="0"/>
        <v>55.094999999999999</v>
      </c>
      <c r="Q15" s="5">
        <f t="shared" si="21"/>
        <v>59.85</v>
      </c>
      <c r="R15" s="5">
        <f t="shared" si="16"/>
        <v>63</v>
      </c>
      <c r="S15" s="5">
        <f t="shared" si="12"/>
        <v>2.5050000000000026</v>
      </c>
      <c r="T15" s="5">
        <f t="shared" si="13"/>
        <v>6.2750250000000127</v>
      </c>
      <c r="U15">
        <f t="shared" si="14"/>
        <v>2.5050000000000026</v>
      </c>
      <c r="V15" s="4">
        <f t="shared" si="15"/>
        <v>4.348958333333338E-2</v>
      </c>
      <c r="W15" s="5">
        <f t="shared" si="22"/>
        <v>-2.25</v>
      </c>
      <c r="X15" s="5">
        <f t="shared" si="23"/>
        <v>5.0625</v>
      </c>
      <c r="Y15">
        <f t="shared" si="24"/>
        <v>2.25</v>
      </c>
      <c r="Z15" s="4">
        <f t="shared" si="25"/>
        <v>3.90625E-2</v>
      </c>
      <c r="AA15" s="5">
        <f t="shared" si="17"/>
        <v>-5.3999999999999986</v>
      </c>
      <c r="AB15" s="5">
        <f t="shared" si="18"/>
        <v>29.159999999999986</v>
      </c>
      <c r="AC15">
        <f t="shared" si="19"/>
        <v>5.3999999999999986</v>
      </c>
      <c r="AD15" s="4">
        <f t="shared" si="20"/>
        <v>9.3749999999999972E-2</v>
      </c>
    </row>
    <row r="16" spans="1:30" ht="16" x14ac:dyDescent="0.2">
      <c r="A16" s="3"/>
      <c r="B16" t="s">
        <v>27</v>
      </c>
      <c r="C16">
        <v>14</v>
      </c>
      <c r="D16">
        <f t="shared" si="1"/>
        <v>0</v>
      </c>
      <c r="E16">
        <f t="shared" si="2"/>
        <v>1</v>
      </c>
      <c r="F16">
        <f t="shared" si="3"/>
        <v>0</v>
      </c>
      <c r="G16">
        <f t="shared" si="4"/>
        <v>0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  <c r="N16">
        <f t="shared" si="11"/>
        <v>0</v>
      </c>
      <c r="O16" s="5">
        <v>53.4</v>
      </c>
      <c r="P16">
        <f t="shared" si="0"/>
        <v>57.974999999999987</v>
      </c>
      <c r="Q16" s="5">
        <f t="shared" si="21"/>
        <v>58.8</v>
      </c>
      <c r="R16" s="5">
        <f t="shared" si="16"/>
        <v>57.6</v>
      </c>
      <c r="S16" s="5">
        <f t="shared" si="12"/>
        <v>-4.5749999999999886</v>
      </c>
      <c r="T16" s="5">
        <f t="shared" si="13"/>
        <v>20.930624999999896</v>
      </c>
      <c r="U16">
        <f t="shared" si="14"/>
        <v>4.5749999999999886</v>
      </c>
      <c r="V16" s="4">
        <f t="shared" si="15"/>
        <v>8.5674157303370579E-2</v>
      </c>
      <c r="W16" s="5">
        <f t="shared" si="22"/>
        <v>-5.3999999999999986</v>
      </c>
      <c r="X16" s="5">
        <f t="shared" si="23"/>
        <v>29.159999999999986</v>
      </c>
      <c r="Y16">
        <f t="shared" si="24"/>
        <v>5.3999999999999986</v>
      </c>
      <c r="Z16" s="4">
        <f t="shared" si="25"/>
        <v>0.10112359550561795</v>
      </c>
      <c r="AA16" s="5">
        <f t="shared" si="17"/>
        <v>-4.2000000000000028</v>
      </c>
      <c r="AB16" s="5">
        <f t="shared" si="18"/>
        <v>17.640000000000025</v>
      </c>
      <c r="AC16">
        <f t="shared" si="19"/>
        <v>4.2000000000000028</v>
      </c>
      <c r="AD16" s="4">
        <f t="shared" si="20"/>
        <v>7.865168539325848E-2</v>
      </c>
    </row>
    <row r="17" spans="1:30" ht="16" x14ac:dyDescent="0.2">
      <c r="A17" s="3"/>
      <c r="B17" t="s">
        <v>28</v>
      </c>
      <c r="C17">
        <v>15</v>
      </c>
      <c r="D17">
        <f t="shared" si="1"/>
        <v>0</v>
      </c>
      <c r="E17">
        <f t="shared" si="2"/>
        <v>0</v>
      </c>
      <c r="F17">
        <f t="shared" si="3"/>
        <v>1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0</v>
      </c>
      <c r="N17">
        <f t="shared" si="11"/>
        <v>0</v>
      </c>
      <c r="O17" s="5">
        <v>71.400000000000006</v>
      </c>
      <c r="P17">
        <f t="shared" si="0"/>
        <v>71.414999999999992</v>
      </c>
      <c r="Q17" s="5">
        <f t="shared" si="21"/>
        <v>57.6</v>
      </c>
      <c r="R17" s="5">
        <f t="shared" si="16"/>
        <v>53.4</v>
      </c>
      <c r="S17" s="5">
        <f t="shared" si="12"/>
        <v>-1.4999999999986358E-2</v>
      </c>
      <c r="T17" s="5">
        <f t="shared" si="13"/>
        <v>2.2499999999959073E-4</v>
      </c>
      <c r="U17">
        <f t="shared" si="14"/>
        <v>1.4999999999986358E-2</v>
      </c>
      <c r="V17" s="4">
        <f t="shared" si="15"/>
        <v>2.100840336132543E-4</v>
      </c>
      <c r="W17" s="5">
        <f t="shared" si="22"/>
        <v>13.800000000000004</v>
      </c>
      <c r="X17" s="5">
        <f t="shared" si="23"/>
        <v>190.44000000000011</v>
      </c>
      <c r="Y17">
        <f t="shared" si="24"/>
        <v>13.800000000000004</v>
      </c>
      <c r="Z17" s="4">
        <f t="shared" si="25"/>
        <v>0.19327731092436978</v>
      </c>
      <c r="AA17" s="5">
        <f t="shared" si="17"/>
        <v>18.000000000000007</v>
      </c>
      <c r="AB17" s="5">
        <f t="shared" si="18"/>
        <v>324.00000000000023</v>
      </c>
      <c r="AC17">
        <f t="shared" si="19"/>
        <v>18.000000000000007</v>
      </c>
      <c r="AD17" s="4">
        <f t="shared" si="20"/>
        <v>0.25210084033613456</v>
      </c>
    </row>
    <row r="18" spans="1:30" ht="16" x14ac:dyDescent="0.2">
      <c r="A18" s="3"/>
      <c r="B18" t="s">
        <v>29</v>
      </c>
      <c r="C18">
        <v>16</v>
      </c>
      <c r="D18">
        <f t="shared" si="1"/>
        <v>0</v>
      </c>
      <c r="E18">
        <f t="shared" si="2"/>
        <v>0</v>
      </c>
      <c r="F18">
        <f t="shared" si="3"/>
        <v>0</v>
      </c>
      <c r="G18">
        <f t="shared" si="4"/>
        <v>1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0</v>
      </c>
      <c r="N18">
        <f t="shared" si="11"/>
        <v>0</v>
      </c>
      <c r="O18" s="5">
        <v>114</v>
      </c>
      <c r="P18">
        <f t="shared" si="0"/>
        <v>110.29499999999999</v>
      </c>
      <c r="Q18" s="5">
        <f t="shared" si="21"/>
        <v>61.35</v>
      </c>
      <c r="R18" s="5">
        <f t="shared" si="16"/>
        <v>71.400000000000006</v>
      </c>
      <c r="S18" s="5">
        <f t="shared" si="12"/>
        <v>3.7050000000000125</v>
      </c>
      <c r="T18" s="5">
        <f t="shared" si="13"/>
        <v>13.727025000000094</v>
      </c>
      <c r="U18">
        <f t="shared" si="14"/>
        <v>3.7050000000000125</v>
      </c>
      <c r="V18" s="4">
        <f t="shared" si="15"/>
        <v>3.2500000000000112E-2</v>
      </c>
      <c r="W18" s="5">
        <f t="shared" si="22"/>
        <v>52.65</v>
      </c>
      <c r="X18" s="5">
        <f t="shared" si="23"/>
        <v>2772.0225</v>
      </c>
      <c r="Y18">
        <f t="shared" si="24"/>
        <v>52.65</v>
      </c>
      <c r="Z18" s="4">
        <f t="shared" si="25"/>
        <v>0.46184210526315789</v>
      </c>
      <c r="AA18" s="5">
        <f t="shared" si="17"/>
        <v>42.599999999999994</v>
      </c>
      <c r="AB18" s="5">
        <f t="shared" si="18"/>
        <v>1814.7599999999995</v>
      </c>
      <c r="AC18">
        <f t="shared" si="19"/>
        <v>42.599999999999994</v>
      </c>
      <c r="AD18" s="4">
        <f t="shared" si="20"/>
        <v>0.37368421052631573</v>
      </c>
    </row>
    <row r="19" spans="1:30" ht="16" x14ac:dyDescent="0.2">
      <c r="B19" t="s">
        <v>30</v>
      </c>
      <c r="C19">
        <v>17</v>
      </c>
      <c r="D19">
        <f t="shared" si="1"/>
        <v>0</v>
      </c>
      <c r="E19">
        <f t="shared" si="2"/>
        <v>0</v>
      </c>
      <c r="F19">
        <f t="shared" si="3"/>
        <v>0</v>
      </c>
      <c r="G19">
        <f t="shared" si="4"/>
        <v>0</v>
      </c>
      <c r="H19">
        <f t="shared" si="5"/>
        <v>1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0</v>
      </c>
      <c r="N19">
        <f t="shared" si="11"/>
        <v>0</v>
      </c>
      <c r="O19" s="5">
        <v>46.8</v>
      </c>
      <c r="P19">
        <f t="shared" si="0"/>
        <v>45.9375</v>
      </c>
      <c r="Q19" s="5">
        <f t="shared" si="21"/>
        <v>74.099999999999994</v>
      </c>
      <c r="R19" s="5">
        <f t="shared" si="16"/>
        <v>114</v>
      </c>
      <c r="S19" s="5">
        <f t="shared" si="12"/>
        <v>0.86249999999999716</v>
      </c>
      <c r="T19" s="5">
        <f t="shared" si="13"/>
        <v>0.74390624999999511</v>
      </c>
      <c r="U19">
        <f t="shared" si="14"/>
        <v>0.86249999999999716</v>
      </c>
      <c r="V19" s="4">
        <f t="shared" si="15"/>
        <v>1.8429487179487121E-2</v>
      </c>
      <c r="W19" s="5">
        <f t="shared" si="22"/>
        <v>-27.299999999999997</v>
      </c>
      <c r="X19" s="5">
        <f t="shared" si="23"/>
        <v>745.28999999999985</v>
      </c>
      <c r="Y19">
        <f t="shared" si="24"/>
        <v>27.299999999999997</v>
      </c>
      <c r="Z19" s="4">
        <f t="shared" si="25"/>
        <v>0.58333333333333326</v>
      </c>
      <c r="AA19" s="5">
        <f t="shared" si="17"/>
        <v>-67.2</v>
      </c>
      <c r="AB19" s="5">
        <f t="shared" si="18"/>
        <v>4515.84</v>
      </c>
      <c r="AC19">
        <f t="shared" si="19"/>
        <v>67.2</v>
      </c>
      <c r="AD19" s="4">
        <f t="shared" si="20"/>
        <v>1.4358974358974361</v>
      </c>
    </row>
    <row r="20" spans="1:30" ht="16" x14ac:dyDescent="0.2">
      <c r="A20" s="3"/>
      <c r="B20" t="s">
        <v>31</v>
      </c>
      <c r="C20">
        <v>18</v>
      </c>
      <c r="D20">
        <f t="shared" si="1"/>
        <v>0</v>
      </c>
      <c r="E20">
        <f t="shared" si="2"/>
        <v>0</v>
      </c>
      <c r="F20">
        <f t="shared" si="3"/>
        <v>0</v>
      </c>
      <c r="G20">
        <f t="shared" si="4"/>
        <v>0</v>
      </c>
      <c r="H20">
        <f t="shared" si="5"/>
        <v>0</v>
      </c>
      <c r="I20">
        <f t="shared" si="6"/>
        <v>1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0</v>
      </c>
      <c r="O20" s="5">
        <v>48.6</v>
      </c>
      <c r="P20">
        <f t="shared" si="0"/>
        <v>48.037499999999994</v>
      </c>
      <c r="Q20" s="5">
        <f t="shared" si="21"/>
        <v>71.400000000000006</v>
      </c>
      <c r="R20" s="5">
        <f t="shared" si="16"/>
        <v>46.8</v>
      </c>
      <c r="S20" s="5">
        <f t="shared" si="12"/>
        <v>0.56250000000000711</v>
      </c>
      <c r="T20" s="5">
        <f t="shared" si="13"/>
        <v>0.31640625000000799</v>
      </c>
      <c r="U20">
        <f t="shared" si="14"/>
        <v>0.56250000000000711</v>
      </c>
      <c r="V20" s="4">
        <f t="shared" si="15"/>
        <v>1.1574074074074219E-2</v>
      </c>
      <c r="W20" s="5">
        <f t="shared" si="22"/>
        <v>-22.800000000000004</v>
      </c>
      <c r="X20" s="5">
        <f t="shared" si="23"/>
        <v>519.84000000000015</v>
      </c>
      <c r="Y20">
        <f t="shared" si="24"/>
        <v>22.800000000000004</v>
      </c>
      <c r="Z20" s="4">
        <f t="shared" si="25"/>
        <v>0.46913580246913589</v>
      </c>
      <c r="AA20" s="5">
        <f t="shared" si="17"/>
        <v>1.8000000000000043</v>
      </c>
      <c r="AB20" s="5">
        <f t="shared" si="18"/>
        <v>3.2400000000000153</v>
      </c>
      <c r="AC20">
        <f t="shared" si="19"/>
        <v>1.8000000000000043</v>
      </c>
      <c r="AD20" s="4">
        <f t="shared" si="20"/>
        <v>3.7037037037037125E-2</v>
      </c>
    </row>
    <row r="21" spans="1:30" ht="16" x14ac:dyDescent="0.2">
      <c r="A21" s="3"/>
      <c r="B21" t="s">
        <v>32</v>
      </c>
      <c r="C21">
        <v>19</v>
      </c>
      <c r="D21">
        <f t="shared" si="1"/>
        <v>0</v>
      </c>
      <c r="E21">
        <f t="shared" si="2"/>
        <v>0</v>
      </c>
      <c r="F21">
        <f t="shared" si="3"/>
        <v>0</v>
      </c>
      <c r="G21">
        <f t="shared" si="4"/>
        <v>0</v>
      </c>
      <c r="H21">
        <f t="shared" si="5"/>
        <v>0</v>
      </c>
      <c r="I21">
        <f t="shared" si="6"/>
        <v>0</v>
      </c>
      <c r="J21">
        <f t="shared" si="7"/>
        <v>1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0</v>
      </c>
      <c r="O21" s="5">
        <v>59.4</v>
      </c>
      <c r="P21">
        <f t="shared" si="0"/>
        <v>58.237499999999997</v>
      </c>
      <c r="Q21" s="5">
        <f t="shared" si="21"/>
        <v>70.2</v>
      </c>
      <c r="R21" s="5">
        <f t="shared" si="16"/>
        <v>48.6</v>
      </c>
      <c r="S21" s="5">
        <f t="shared" si="12"/>
        <v>1.1625000000000014</v>
      </c>
      <c r="T21" s="5">
        <f t="shared" si="13"/>
        <v>1.3514062500000033</v>
      </c>
      <c r="U21">
        <f t="shared" si="14"/>
        <v>1.1625000000000014</v>
      </c>
      <c r="V21" s="4">
        <f t="shared" si="15"/>
        <v>1.9570707070707096E-2</v>
      </c>
      <c r="W21" s="5">
        <f t="shared" si="22"/>
        <v>-10.800000000000004</v>
      </c>
      <c r="X21" s="5">
        <f t="shared" si="23"/>
        <v>116.64000000000009</v>
      </c>
      <c r="Y21">
        <f t="shared" si="24"/>
        <v>10.800000000000004</v>
      </c>
      <c r="Z21" s="4">
        <f t="shared" si="25"/>
        <v>0.18181818181818191</v>
      </c>
      <c r="AA21" s="5">
        <f t="shared" si="17"/>
        <v>10.799999999999997</v>
      </c>
      <c r="AB21" s="5">
        <f t="shared" si="18"/>
        <v>116.63999999999994</v>
      </c>
      <c r="AC21">
        <f t="shared" si="19"/>
        <v>10.799999999999997</v>
      </c>
      <c r="AD21" s="4">
        <f t="shared" si="20"/>
        <v>0.18181818181818177</v>
      </c>
    </row>
    <row r="22" spans="1:30" ht="16" x14ac:dyDescent="0.2">
      <c r="A22" s="3"/>
      <c r="B22" t="s">
        <v>33</v>
      </c>
      <c r="C22">
        <v>20</v>
      </c>
      <c r="D22">
        <f t="shared" si="1"/>
        <v>0</v>
      </c>
      <c r="E22">
        <f t="shared" si="2"/>
        <v>0</v>
      </c>
      <c r="F22">
        <f t="shared" si="3"/>
        <v>0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0</v>
      </c>
      <c r="K22">
        <f t="shared" si="8"/>
        <v>1</v>
      </c>
      <c r="L22">
        <f t="shared" si="9"/>
        <v>0</v>
      </c>
      <c r="M22">
        <f t="shared" si="10"/>
        <v>0</v>
      </c>
      <c r="N22">
        <f t="shared" si="11"/>
        <v>0</v>
      </c>
      <c r="O22" s="5">
        <v>58.2</v>
      </c>
      <c r="P22">
        <f t="shared" si="0"/>
        <v>56.4375</v>
      </c>
      <c r="Q22" s="5">
        <f t="shared" si="21"/>
        <v>67.2</v>
      </c>
      <c r="R22" s="5">
        <f t="shared" si="16"/>
        <v>59.4</v>
      </c>
      <c r="S22" s="5">
        <f t="shared" si="12"/>
        <v>1.7625000000000028</v>
      </c>
      <c r="T22" s="5">
        <f t="shared" si="13"/>
        <v>3.1064062500000098</v>
      </c>
      <c r="U22">
        <f t="shared" si="14"/>
        <v>1.7625000000000028</v>
      </c>
      <c r="V22" s="4">
        <f t="shared" si="15"/>
        <v>3.0283505154639224E-2</v>
      </c>
      <c r="W22" s="5">
        <f t="shared" si="22"/>
        <v>-9</v>
      </c>
      <c r="X22" s="5">
        <f t="shared" si="23"/>
        <v>81</v>
      </c>
      <c r="Y22">
        <f t="shared" si="24"/>
        <v>9</v>
      </c>
      <c r="Z22" s="4">
        <f t="shared" si="25"/>
        <v>0.15463917525773196</v>
      </c>
      <c r="AA22" s="5">
        <f t="shared" si="17"/>
        <v>-1.1999999999999957</v>
      </c>
      <c r="AB22" s="5">
        <f t="shared" si="18"/>
        <v>1.4399999999999897</v>
      </c>
      <c r="AC22">
        <f t="shared" si="19"/>
        <v>1.1999999999999957</v>
      </c>
      <c r="AD22" s="4">
        <f t="shared" si="20"/>
        <v>2.0618556701030855E-2</v>
      </c>
    </row>
    <row r="23" spans="1:30" ht="16" x14ac:dyDescent="0.2">
      <c r="A23" s="3">
        <v>3</v>
      </c>
      <c r="B23" t="s">
        <v>34</v>
      </c>
      <c r="C23">
        <v>21</v>
      </c>
      <c r="D23">
        <f t="shared" si="1"/>
        <v>0</v>
      </c>
      <c r="E23">
        <f t="shared" si="2"/>
        <v>0</v>
      </c>
      <c r="F23">
        <f t="shared" si="3"/>
        <v>0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1</v>
      </c>
      <c r="M23">
        <f t="shared" si="10"/>
        <v>0</v>
      </c>
      <c r="N23">
        <f t="shared" si="11"/>
        <v>0</v>
      </c>
      <c r="O23" s="5">
        <v>60.6</v>
      </c>
      <c r="P23">
        <f t="shared" si="0"/>
        <v>59.287499999999994</v>
      </c>
      <c r="Q23" s="5">
        <f t="shared" si="21"/>
        <v>53.25</v>
      </c>
      <c r="R23" s="5">
        <f t="shared" si="16"/>
        <v>58.2</v>
      </c>
      <c r="S23" s="5">
        <f t="shared" si="12"/>
        <v>1.3125000000000071</v>
      </c>
      <c r="T23" s="5">
        <f t="shared" si="13"/>
        <v>1.7226562500000187</v>
      </c>
      <c r="U23">
        <f t="shared" si="14"/>
        <v>1.3125000000000071</v>
      </c>
      <c r="V23" s="4">
        <f t="shared" si="15"/>
        <v>2.1658415841584275E-2</v>
      </c>
      <c r="W23" s="5">
        <f t="shared" si="22"/>
        <v>7.3500000000000014</v>
      </c>
      <c r="X23" s="5">
        <f t="shared" si="23"/>
        <v>54.022500000000022</v>
      </c>
      <c r="Y23">
        <f t="shared" si="24"/>
        <v>7.3500000000000014</v>
      </c>
      <c r="Z23" s="4">
        <f t="shared" si="25"/>
        <v>0.12128712871287131</v>
      </c>
      <c r="AA23" s="5">
        <f t="shared" si="17"/>
        <v>2.3999999999999986</v>
      </c>
      <c r="AB23" s="5">
        <f t="shared" si="18"/>
        <v>5.7599999999999936</v>
      </c>
      <c r="AC23">
        <f t="shared" si="19"/>
        <v>2.3999999999999986</v>
      </c>
      <c r="AD23" s="4">
        <f t="shared" si="20"/>
        <v>3.9603960396039577E-2</v>
      </c>
    </row>
    <row r="24" spans="1:30" ht="16" x14ac:dyDescent="0.2">
      <c r="B24" t="s">
        <v>35</v>
      </c>
      <c r="C24">
        <v>22</v>
      </c>
      <c r="D24">
        <f t="shared" si="1"/>
        <v>0</v>
      </c>
      <c r="E24">
        <f t="shared" si="2"/>
        <v>0</v>
      </c>
      <c r="F24">
        <f t="shared" si="3"/>
        <v>0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1</v>
      </c>
      <c r="N24">
        <f t="shared" si="11"/>
        <v>0</v>
      </c>
      <c r="O24" s="5">
        <v>55.2</v>
      </c>
      <c r="P24">
        <f t="shared" si="0"/>
        <v>55.387500000000003</v>
      </c>
      <c r="Q24" s="5">
        <f t="shared" si="21"/>
        <v>56.699999999999996</v>
      </c>
      <c r="R24" s="5">
        <f t="shared" si="16"/>
        <v>60.6</v>
      </c>
      <c r="S24" s="5">
        <f t="shared" si="12"/>
        <v>-0.1875</v>
      </c>
      <c r="T24" s="5">
        <f t="shared" si="13"/>
        <v>3.515625E-2</v>
      </c>
      <c r="U24">
        <f t="shared" si="14"/>
        <v>0.1875</v>
      </c>
      <c r="V24" s="4">
        <f t="shared" si="15"/>
        <v>3.3967391304347825E-3</v>
      </c>
      <c r="W24" s="5">
        <f t="shared" si="22"/>
        <v>-1.4999999999999929</v>
      </c>
      <c r="X24" s="5">
        <f t="shared" si="23"/>
        <v>2.2499999999999787</v>
      </c>
      <c r="Y24">
        <f t="shared" si="24"/>
        <v>1.4999999999999929</v>
      </c>
      <c r="Z24" s="4">
        <f t="shared" si="25"/>
        <v>2.7173913043478132E-2</v>
      </c>
      <c r="AA24" s="5">
        <f t="shared" si="17"/>
        <v>-5.3999999999999986</v>
      </c>
      <c r="AB24" s="5">
        <f t="shared" si="18"/>
        <v>29.159999999999986</v>
      </c>
      <c r="AC24">
        <f t="shared" si="19"/>
        <v>5.3999999999999986</v>
      </c>
      <c r="AD24" s="4">
        <f t="shared" si="20"/>
        <v>9.7826086956521702E-2</v>
      </c>
    </row>
    <row r="25" spans="1:30" ht="16" x14ac:dyDescent="0.2">
      <c r="A25" s="3"/>
      <c r="B25" t="s">
        <v>36</v>
      </c>
      <c r="C25">
        <v>23</v>
      </c>
      <c r="D25">
        <f t="shared" si="1"/>
        <v>0</v>
      </c>
      <c r="E25">
        <f t="shared" si="2"/>
        <v>0</v>
      </c>
      <c r="F25">
        <f t="shared" si="3"/>
        <v>0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  <c r="N25">
        <f t="shared" si="11"/>
        <v>1</v>
      </c>
      <c r="O25" s="5">
        <v>51</v>
      </c>
      <c r="P25">
        <f t="shared" si="0"/>
        <v>54.337499999999991</v>
      </c>
      <c r="Q25" s="5">
        <f t="shared" si="21"/>
        <v>58.349999999999994</v>
      </c>
      <c r="R25" s="5">
        <f t="shared" si="16"/>
        <v>55.2</v>
      </c>
      <c r="S25" s="5">
        <f t="shared" si="12"/>
        <v>-3.3374999999999915</v>
      </c>
      <c r="T25" s="5">
        <f t="shared" si="13"/>
        <v>11.138906249999943</v>
      </c>
      <c r="U25">
        <f t="shared" si="14"/>
        <v>3.3374999999999915</v>
      </c>
      <c r="V25" s="4">
        <f t="shared" si="15"/>
        <v>6.5441176470588072E-2</v>
      </c>
      <c r="W25" s="5">
        <f t="shared" si="22"/>
        <v>-7.3499999999999943</v>
      </c>
      <c r="X25" s="5">
        <f t="shared" si="23"/>
        <v>54.022499999999916</v>
      </c>
      <c r="Y25">
        <f t="shared" si="24"/>
        <v>7.3499999999999943</v>
      </c>
      <c r="Z25" s="4">
        <f t="shared" si="25"/>
        <v>0.14411764705882341</v>
      </c>
      <c r="AA25" s="5">
        <f t="shared" si="17"/>
        <v>-4.2000000000000028</v>
      </c>
      <c r="AB25" s="5">
        <f t="shared" si="18"/>
        <v>17.640000000000025</v>
      </c>
      <c r="AC25">
        <f t="shared" si="19"/>
        <v>4.2000000000000028</v>
      </c>
      <c r="AD25" s="4">
        <f t="shared" si="20"/>
        <v>8.2352941176470643E-2</v>
      </c>
    </row>
    <row r="26" spans="1:30" ht="16" x14ac:dyDescent="0.2">
      <c r="A26" s="3"/>
      <c r="B26" t="s">
        <v>37</v>
      </c>
      <c r="C26">
        <v>24</v>
      </c>
      <c r="D26">
        <f t="shared" si="1"/>
        <v>0</v>
      </c>
      <c r="E26">
        <f t="shared" si="2"/>
        <v>0</v>
      </c>
      <c r="F26">
        <f t="shared" si="3"/>
        <v>0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0</v>
      </c>
      <c r="O26" s="5">
        <v>58.8</v>
      </c>
      <c r="P26">
        <f t="shared" si="0"/>
        <v>60.637499999999989</v>
      </c>
      <c r="Q26" s="5">
        <f t="shared" si="21"/>
        <v>56.25</v>
      </c>
      <c r="R26" s="5">
        <f t="shared" si="16"/>
        <v>51</v>
      </c>
      <c r="S26" s="5">
        <f t="shared" si="12"/>
        <v>-1.8374999999999915</v>
      </c>
      <c r="T26" s="5">
        <f t="shared" si="13"/>
        <v>3.3764062499999685</v>
      </c>
      <c r="U26">
        <f t="shared" si="14"/>
        <v>1.8374999999999915</v>
      </c>
      <c r="V26" s="4">
        <f t="shared" si="15"/>
        <v>3.1249999999999858E-2</v>
      </c>
      <c r="W26" s="5">
        <f t="shared" si="22"/>
        <v>2.5499999999999972</v>
      </c>
      <c r="X26" s="5">
        <f t="shared" si="23"/>
        <v>6.5024999999999853</v>
      </c>
      <c r="Y26">
        <f t="shared" si="24"/>
        <v>2.5499999999999972</v>
      </c>
      <c r="Z26" s="4">
        <f t="shared" si="25"/>
        <v>4.3367346938775461E-2</v>
      </c>
      <c r="AA26" s="5">
        <f t="shared" si="17"/>
        <v>7.7999999999999972</v>
      </c>
      <c r="AB26" s="5">
        <f t="shared" si="18"/>
        <v>60.839999999999954</v>
      </c>
      <c r="AC26">
        <f t="shared" si="19"/>
        <v>7.7999999999999972</v>
      </c>
      <c r="AD26" s="4">
        <f t="shared" si="20"/>
        <v>0.13265306122448975</v>
      </c>
    </row>
    <row r="27" spans="1:30" ht="16" x14ac:dyDescent="0.2">
      <c r="A27" s="3"/>
      <c r="B27" t="s">
        <v>26</v>
      </c>
      <c r="C27">
        <v>25</v>
      </c>
      <c r="D27">
        <f t="shared" si="1"/>
        <v>1</v>
      </c>
      <c r="E27">
        <f t="shared" si="2"/>
        <v>0</v>
      </c>
      <c r="F27">
        <f t="shared" si="3"/>
        <v>0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  <c r="O27" s="5">
        <v>49.8</v>
      </c>
      <c r="P27">
        <f t="shared" si="0"/>
        <v>55.92</v>
      </c>
      <c r="Q27" s="5">
        <f t="shared" si="21"/>
        <v>56.400000000000006</v>
      </c>
      <c r="R27" s="5">
        <f t="shared" si="16"/>
        <v>58.8</v>
      </c>
      <c r="S27" s="5">
        <f t="shared" si="12"/>
        <v>-6.1200000000000045</v>
      </c>
      <c r="T27" s="5">
        <f t="shared" si="13"/>
        <v>37.454400000000057</v>
      </c>
      <c r="U27">
        <f t="shared" si="14"/>
        <v>6.1200000000000045</v>
      </c>
      <c r="V27" s="4">
        <f t="shared" si="15"/>
        <v>0.12289156626506034</v>
      </c>
      <c r="W27" s="5">
        <f t="shared" si="22"/>
        <v>-6.6000000000000085</v>
      </c>
      <c r="X27" s="5">
        <f t="shared" si="23"/>
        <v>43.560000000000116</v>
      </c>
      <c r="Y27">
        <f t="shared" si="24"/>
        <v>6.6000000000000085</v>
      </c>
      <c r="Z27" s="4">
        <f t="shared" si="25"/>
        <v>0.13253012048192789</v>
      </c>
      <c r="AA27" s="5">
        <f t="shared" si="17"/>
        <v>-9</v>
      </c>
      <c r="AB27" s="5">
        <f t="shared" si="18"/>
        <v>81</v>
      </c>
      <c r="AC27">
        <f t="shared" si="19"/>
        <v>9</v>
      </c>
      <c r="AD27" s="4">
        <f t="shared" si="20"/>
        <v>0.18072289156626506</v>
      </c>
    </row>
    <row r="28" spans="1:30" ht="16" x14ac:dyDescent="0.2">
      <c r="A28" s="3"/>
      <c r="B28" t="s">
        <v>27</v>
      </c>
      <c r="C28">
        <v>26</v>
      </c>
      <c r="D28">
        <f t="shared" si="1"/>
        <v>0</v>
      </c>
      <c r="E28">
        <f t="shared" si="2"/>
        <v>1</v>
      </c>
      <c r="F28">
        <f t="shared" si="3"/>
        <v>0</v>
      </c>
      <c r="G28">
        <f t="shared" si="4"/>
        <v>0</v>
      </c>
      <c r="H28">
        <f t="shared" si="5"/>
        <v>0</v>
      </c>
      <c r="I28">
        <f t="shared" si="6"/>
        <v>0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0</v>
      </c>
      <c r="N28">
        <f t="shared" si="11"/>
        <v>0</v>
      </c>
      <c r="O28" s="5">
        <v>54.6</v>
      </c>
      <c r="P28">
        <f t="shared" si="0"/>
        <v>58.79999999999999</v>
      </c>
      <c r="Q28" s="5">
        <f t="shared" si="21"/>
        <v>53.7</v>
      </c>
      <c r="R28" s="5">
        <f t="shared" si="16"/>
        <v>49.8</v>
      </c>
      <c r="S28" s="5">
        <f t="shared" si="12"/>
        <v>-4.1999999999999886</v>
      </c>
      <c r="T28" s="5">
        <f t="shared" si="13"/>
        <v>17.639999999999905</v>
      </c>
      <c r="U28">
        <f t="shared" si="14"/>
        <v>4.1999999999999886</v>
      </c>
      <c r="V28" s="4">
        <f t="shared" si="15"/>
        <v>7.6923076923076719E-2</v>
      </c>
      <c r="W28" s="5">
        <f t="shared" si="22"/>
        <v>0.89999999999999858</v>
      </c>
      <c r="X28" s="5">
        <f t="shared" si="23"/>
        <v>0.80999999999999739</v>
      </c>
      <c r="Y28">
        <f t="shared" si="24"/>
        <v>0.89999999999999858</v>
      </c>
      <c r="Z28" s="4">
        <f t="shared" si="25"/>
        <v>1.6483516483516456E-2</v>
      </c>
      <c r="AA28" s="5">
        <f t="shared" si="17"/>
        <v>4.8000000000000043</v>
      </c>
      <c r="AB28" s="5">
        <f t="shared" si="18"/>
        <v>23.040000000000042</v>
      </c>
      <c r="AC28">
        <f t="shared" si="19"/>
        <v>4.8000000000000043</v>
      </c>
      <c r="AD28" s="4">
        <f t="shared" si="20"/>
        <v>8.7912087912087988E-2</v>
      </c>
    </row>
    <row r="29" spans="1:30" ht="16" x14ac:dyDescent="0.2">
      <c r="A29" s="3"/>
      <c r="B29" t="s">
        <v>28</v>
      </c>
      <c r="C29">
        <v>27</v>
      </c>
      <c r="D29">
        <f t="shared" si="1"/>
        <v>0</v>
      </c>
      <c r="E29">
        <f t="shared" si="2"/>
        <v>0</v>
      </c>
      <c r="F29">
        <f t="shared" si="3"/>
        <v>1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0</v>
      </c>
      <c r="N29">
        <f t="shared" si="11"/>
        <v>0</v>
      </c>
      <c r="O29" s="5">
        <v>65.400000000000006</v>
      </c>
      <c r="P29">
        <f t="shared" si="0"/>
        <v>72.239999999999995</v>
      </c>
      <c r="Q29" s="5">
        <f t="shared" si="21"/>
        <v>53.55</v>
      </c>
      <c r="R29" s="5">
        <f t="shared" si="16"/>
        <v>54.6</v>
      </c>
      <c r="S29" s="5">
        <f t="shared" si="12"/>
        <v>-6.8399999999999892</v>
      </c>
      <c r="T29" s="5">
        <f t="shared" si="13"/>
        <v>46.785599999999853</v>
      </c>
      <c r="U29">
        <f t="shared" si="14"/>
        <v>6.8399999999999892</v>
      </c>
      <c r="V29" s="4">
        <f t="shared" si="15"/>
        <v>0.10458715596330258</v>
      </c>
      <c r="W29" s="5">
        <f t="shared" si="22"/>
        <v>11.850000000000009</v>
      </c>
      <c r="X29" s="5">
        <f t="shared" si="23"/>
        <v>140.42250000000021</v>
      </c>
      <c r="Y29">
        <f t="shared" si="24"/>
        <v>11.850000000000009</v>
      </c>
      <c r="Z29" s="4">
        <f t="shared" si="25"/>
        <v>0.18119266055045882</v>
      </c>
      <c r="AA29" s="5">
        <f t="shared" si="17"/>
        <v>10.800000000000004</v>
      </c>
      <c r="AB29" s="5">
        <f t="shared" si="18"/>
        <v>116.64000000000009</v>
      </c>
      <c r="AC29">
        <f t="shared" si="19"/>
        <v>10.800000000000004</v>
      </c>
      <c r="AD29" s="4">
        <f t="shared" si="20"/>
        <v>0.16513761467889915</v>
      </c>
    </row>
    <row r="30" spans="1:30" ht="16" x14ac:dyDescent="0.2">
      <c r="A30" s="3"/>
      <c r="B30" t="s">
        <v>29</v>
      </c>
      <c r="C30">
        <v>28</v>
      </c>
      <c r="D30">
        <f t="shared" si="1"/>
        <v>0</v>
      </c>
      <c r="E30">
        <f t="shared" si="2"/>
        <v>0</v>
      </c>
      <c r="F30">
        <f t="shared" si="3"/>
        <v>0</v>
      </c>
      <c r="G30">
        <f t="shared" si="4"/>
        <v>1</v>
      </c>
      <c r="H30">
        <f t="shared" si="5"/>
        <v>0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0</v>
      </c>
      <c r="N30">
        <f t="shared" si="11"/>
        <v>0</v>
      </c>
      <c r="O30" s="5">
        <v>102</v>
      </c>
      <c r="P30">
        <f t="shared" si="0"/>
        <v>111.11999999999999</v>
      </c>
      <c r="Q30" s="5">
        <f t="shared" si="21"/>
        <v>57.15</v>
      </c>
      <c r="R30" s="5">
        <f t="shared" si="16"/>
        <v>65.400000000000006</v>
      </c>
      <c r="S30" s="5">
        <f t="shared" si="12"/>
        <v>-9.1199999999999903</v>
      </c>
      <c r="T30" s="5">
        <f t="shared" si="13"/>
        <v>83.174399999999821</v>
      </c>
      <c r="U30">
        <f t="shared" si="14"/>
        <v>9.1199999999999903</v>
      </c>
      <c r="V30" s="4">
        <f t="shared" si="15"/>
        <v>8.941176470588226E-2</v>
      </c>
      <c r="W30" s="5">
        <f t="shared" si="22"/>
        <v>44.85</v>
      </c>
      <c r="X30" s="5">
        <f t="shared" si="23"/>
        <v>2011.5225</v>
      </c>
      <c r="Y30">
        <f t="shared" si="24"/>
        <v>44.85</v>
      </c>
      <c r="Z30" s="4">
        <f t="shared" si="25"/>
        <v>0.43970588235294117</v>
      </c>
      <c r="AA30" s="5">
        <f t="shared" si="17"/>
        <v>36.599999999999994</v>
      </c>
      <c r="AB30" s="5">
        <f t="shared" si="18"/>
        <v>1339.5599999999995</v>
      </c>
      <c r="AC30">
        <f t="shared" si="19"/>
        <v>36.599999999999994</v>
      </c>
      <c r="AD30" s="4">
        <f t="shared" si="20"/>
        <v>0.35882352941176465</v>
      </c>
    </row>
    <row r="31" spans="1:30" ht="16" x14ac:dyDescent="0.2">
      <c r="B31" t="s">
        <v>30</v>
      </c>
      <c r="C31">
        <v>29</v>
      </c>
      <c r="D31">
        <f t="shared" si="1"/>
        <v>0</v>
      </c>
      <c r="E31">
        <f t="shared" si="2"/>
        <v>0</v>
      </c>
      <c r="F31">
        <f t="shared" si="3"/>
        <v>0</v>
      </c>
      <c r="G31">
        <f t="shared" si="4"/>
        <v>0</v>
      </c>
      <c r="H31">
        <f t="shared" si="5"/>
        <v>1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0</v>
      </c>
      <c r="N31">
        <f t="shared" si="11"/>
        <v>0</v>
      </c>
      <c r="O31" s="5">
        <v>43.8</v>
      </c>
      <c r="P31">
        <f t="shared" si="0"/>
        <v>46.762499999999996</v>
      </c>
      <c r="Q31" s="5">
        <f t="shared" si="21"/>
        <v>67.95</v>
      </c>
      <c r="R31" s="5">
        <f t="shared" si="16"/>
        <v>102</v>
      </c>
      <c r="S31" s="5">
        <f t="shared" si="12"/>
        <v>-2.9624999999999986</v>
      </c>
      <c r="T31" s="5">
        <f t="shared" si="13"/>
        <v>8.776406249999992</v>
      </c>
      <c r="U31">
        <f t="shared" si="14"/>
        <v>2.9624999999999986</v>
      </c>
      <c r="V31" s="4">
        <f t="shared" si="15"/>
        <v>6.7636986301369828E-2</v>
      </c>
      <c r="W31" s="5">
        <f t="shared" si="22"/>
        <v>-24.150000000000006</v>
      </c>
      <c r="X31" s="5">
        <f t="shared" si="23"/>
        <v>583.22250000000031</v>
      </c>
      <c r="Y31">
        <f t="shared" si="24"/>
        <v>24.150000000000006</v>
      </c>
      <c r="Z31" s="4">
        <f t="shared" si="25"/>
        <v>0.55136986301369884</v>
      </c>
      <c r="AA31" s="5">
        <f t="shared" si="17"/>
        <v>-58.2</v>
      </c>
      <c r="AB31" s="5">
        <f t="shared" si="18"/>
        <v>3387.2400000000002</v>
      </c>
      <c r="AC31">
        <f t="shared" si="19"/>
        <v>58.2</v>
      </c>
      <c r="AD31" s="4">
        <f t="shared" si="20"/>
        <v>1.3287671232876714</v>
      </c>
    </row>
    <row r="32" spans="1:30" ht="16" x14ac:dyDescent="0.2">
      <c r="A32" s="3"/>
      <c r="B32" t="s">
        <v>31</v>
      </c>
      <c r="C32">
        <v>30</v>
      </c>
      <c r="D32">
        <f t="shared" si="1"/>
        <v>0</v>
      </c>
      <c r="E32">
        <f t="shared" si="2"/>
        <v>0</v>
      </c>
      <c r="F32">
        <f t="shared" si="3"/>
        <v>0</v>
      </c>
      <c r="G32">
        <f t="shared" si="4"/>
        <v>0</v>
      </c>
      <c r="H32">
        <f t="shared" si="5"/>
        <v>0</v>
      </c>
      <c r="I32">
        <f t="shared" si="6"/>
        <v>1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0</v>
      </c>
      <c r="N32">
        <f t="shared" si="11"/>
        <v>0</v>
      </c>
      <c r="O32" s="5">
        <v>45.6</v>
      </c>
      <c r="P32">
        <f t="shared" si="0"/>
        <v>48.862499999999997</v>
      </c>
      <c r="Q32" s="5">
        <f t="shared" si="21"/>
        <v>66.45</v>
      </c>
      <c r="R32" s="5">
        <f t="shared" si="16"/>
        <v>43.8</v>
      </c>
      <c r="S32" s="5">
        <f t="shared" si="12"/>
        <v>-3.2624999999999957</v>
      </c>
      <c r="T32" s="5">
        <f t="shared" si="13"/>
        <v>10.643906249999972</v>
      </c>
      <c r="U32">
        <f t="shared" si="14"/>
        <v>3.2624999999999957</v>
      </c>
      <c r="V32" s="4">
        <f t="shared" si="15"/>
        <v>7.1546052631578858E-2</v>
      </c>
      <c r="W32" s="5">
        <f t="shared" si="22"/>
        <v>-20.85</v>
      </c>
      <c r="X32" s="5">
        <f t="shared" si="23"/>
        <v>434.72250000000008</v>
      </c>
      <c r="Y32">
        <f t="shared" si="24"/>
        <v>20.85</v>
      </c>
      <c r="Z32" s="4">
        <f t="shared" si="25"/>
        <v>0.45723684210526316</v>
      </c>
      <c r="AA32" s="5">
        <f t="shared" si="17"/>
        <v>1.8000000000000043</v>
      </c>
      <c r="AB32" s="5">
        <f t="shared" si="18"/>
        <v>3.2400000000000153</v>
      </c>
      <c r="AC32">
        <f t="shared" si="19"/>
        <v>1.8000000000000043</v>
      </c>
      <c r="AD32" s="4">
        <f t="shared" si="20"/>
        <v>3.9473684210526411E-2</v>
      </c>
    </row>
    <row r="33" spans="1:30" ht="16" x14ac:dyDescent="0.2">
      <c r="A33" s="3"/>
      <c r="B33" t="s">
        <v>32</v>
      </c>
      <c r="C33">
        <v>31</v>
      </c>
      <c r="D33">
        <f t="shared" si="1"/>
        <v>0</v>
      </c>
      <c r="E33">
        <f t="shared" si="2"/>
        <v>0</v>
      </c>
      <c r="F33">
        <f t="shared" si="3"/>
        <v>0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1</v>
      </c>
      <c r="K33">
        <f t="shared" si="8"/>
        <v>0</v>
      </c>
      <c r="L33">
        <f t="shared" si="9"/>
        <v>0</v>
      </c>
      <c r="M33">
        <f t="shared" si="10"/>
        <v>0</v>
      </c>
      <c r="N33">
        <f t="shared" si="11"/>
        <v>0</v>
      </c>
      <c r="O33" s="5">
        <v>57.6</v>
      </c>
      <c r="P33">
        <f t="shared" si="0"/>
        <v>59.0625</v>
      </c>
      <c r="Q33" s="5">
        <f t="shared" si="21"/>
        <v>64.2</v>
      </c>
      <c r="R33" s="5">
        <f t="shared" si="16"/>
        <v>45.6</v>
      </c>
      <c r="S33" s="5">
        <f t="shared" si="12"/>
        <v>-1.4624999999999986</v>
      </c>
      <c r="T33" s="5">
        <f t="shared" si="13"/>
        <v>2.1389062499999958</v>
      </c>
      <c r="U33">
        <f t="shared" si="14"/>
        <v>1.4624999999999986</v>
      </c>
      <c r="V33" s="4">
        <f t="shared" si="15"/>
        <v>2.5390624999999976E-2</v>
      </c>
      <c r="W33" s="5">
        <f t="shared" si="22"/>
        <v>-6.6000000000000014</v>
      </c>
      <c r="X33" s="5">
        <f t="shared" si="23"/>
        <v>43.560000000000016</v>
      </c>
      <c r="Y33">
        <f t="shared" si="24"/>
        <v>6.6000000000000014</v>
      </c>
      <c r="Z33" s="4">
        <f t="shared" si="25"/>
        <v>0.11458333333333336</v>
      </c>
      <c r="AA33" s="5">
        <f t="shared" si="17"/>
        <v>12</v>
      </c>
      <c r="AB33" s="5">
        <f t="shared" si="18"/>
        <v>144</v>
      </c>
      <c r="AC33">
        <f t="shared" si="19"/>
        <v>12</v>
      </c>
      <c r="AD33" s="4">
        <f t="shared" si="20"/>
        <v>0.20833333333333331</v>
      </c>
    </row>
    <row r="34" spans="1:30" ht="16" x14ac:dyDescent="0.2">
      <c r="A34" s="3"/>
      <c r="B34" t="s">
        <v>33</v>
      </c>
      <c r="C34">
        <v>32</v>
      </c>
      <c r="D34">
        <f t="shared" si="1"/>
        <v>0</v>
      </c>
      <c r="E34">
        <f t="shared" si="2"/>
        <v>0</v>
      </c>
      <c r="F34">
        <f t="shared" si="3"/>
        <v>0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1</v>
      </c>
      <c r="L34">
        <f t="shared" si="9"/>
        <v>0</v>
      </c>
      <c r="M34">
        <f t="shared" si="10"/>
        <v>0</v>
      </c>
      <c r="N34">
        <f t="shared" si="11"/>
        <v>0</v>
      </c>
      <c r="O34" s="5">
        <v>53.4</v>
      </c>
      <c r="P34">
        <f t="shared" si="0"/>
        <v>57.262500000000003</v>
      </c>
      <c r="Q34" s="5">
        <f t="shared" si="21"/>
        <v>62.25</v>
      </c>
      <c r="R34" s="5">
        <f t="shared" si="16"/>
        <v>57.6</v>
      </c>
      <c r="S34" s="5">
        <f t="shared" si="12"/>
        <v>-3.8625000000000043</v>
      </c>
      <c r="T34" s="5">
        <f t="shared" si="13"/>
        <v>14.918906250000033</v>
      </c>
      <c r="U34">
        <f t="shared" si="14"/>
        <v>3.8625000000000043</v>
      </c>
      <c r="V34" s="4">
        <f t="shared" si="15"/>
        <v>7.2331460674157383E-2</v>
      </c>
      <c r="W34" s="5">
        <f t="shared" si="22"/>
        <v>-8.8500000000000014</v>
      </c>
      <c r="X34" s="5">
        <f t="shared" si="23"/>
        <v>78.322500000000019</v>
      </c>
      <c r="Y34">
        <f t="shared" si="24"/>
        <v>8.8500000000000014</v>
      </c>
      <c r="Z34" s="4">
        <f t="shared" si="25"/>
        <v>0.16573033707865173</v>
      </c>
      <c r="AA34" s="5">
        <f t="shared" si="17"/>
        <v>-4.2000000000000028</v>
      </c>
      <c r="AB34" s="5">
        <f t="shared" si="18"/>
        <v>17.640000000000025</v>
      </c>
      <c r="AC34">
        <f t="shared" si="19"/>
        <v>4.2000000000000028</v>
      </c>
      <c r="AD34" s="4">
        <f t="shared" si="20"/>
        <v>7.865168539325848E-2</v>
      </c>
    </row>
    <row r="35" spans="1:30" ht="16" x14ac:dyDescent="0.2">
      <c r="A35" s="3">
        <v>4</v>
      </c>
      <c r="B35" t="s">
        <v>34</v>
      </c>
      <c r="C35">
        <v>33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1</v>
      </c>
      <c r="M35">
        <f t="shared" si="10"/>
        <v>0</v>
      </c>
      <c r="N35">
        <f t="shared" si="11"/>
        <v>0</v>
      </c>
      <c r="O35" s="5">
        <v>56.4</v>
      </c>
      <c r="P35">
        <f t="shared" ref="P35:P54" si="26">$A$58+$B$58*C35+$C$58*D35+$D$58*E35+$E$58*F35+$F$58*G35+$G$58*H35+$H$58*I35+$I$58*J35+$J$58*K35+$K$58*L35+$L$58*M35+$M$58*N35</f>
        <v>60.11249999999999</v>
      </c>
      <c r="Q35" s="5">
        <f t="shared" si="21"/>
        <v>50.1</v>
      </c>
      <c r="R35" s="5">
        <f t="shared" si="16"/>
        <v>53.4</v>
      </c>
      <c r="S35" s="5">
        <f t="shared" si="12"/>
        <v>-3.7124999999999915</v>
      </c>
      <c r="T35" s="5">
        <f t="shared" si="13"/>
        <v>13.782656249999937</v>
      </c>
      <c r="U35">
        <f t="shared" si="14"/>
        <v>3.7124999999999915</v>
      </c>
      <c r="V35" s="4">
        <f t="shared" si="15"/>
        <v>6.5824468085106239E-2</v>
      </c>
      <c r="W35" s="5">
        <f t="shared" si="22"/>
        <v>6.2999999999999972</v>
      </c>
      <c r="X35" s="5">
        <f t="shared" si="23"/>
        <v>39.689999999999962</v>
      </c>
      <c r="Y35">
        <f t="shared" si="24"/>
        <v>6.2999999999999972</v>
      </c>
      <c r="Z35" s="4">
        <f t="shared" si="25"/>
        <v>0.11170212765957442</v>
      </c>
      <c r="AA35" s="5">
        <f t="shared" si="17"/>
        <v>3</v>
      </c>
      <c r="AB35" s="5">
        <f t="shared" si="18"/>
        <v>9</v>
      </c>
      <c r="AC35">
        <f t="shared" si="19"/>
        <v>3</v>
      </c>
      <c r="AD35" s="4">
        <f t="shared" si="20"/>
        <v>5.3191489361702128E-2</v>
      </c>
    </row>
    <row r="36" spans="1:30" ht="16" x14ac:dyDescent="0.2">
      <c r="A36" s="3"/>
      <c r="B36" t="s">
        <v>35</v>
      </c>
      <c r="C36">
        <v>34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0</v>
      </c>
      <c r="M36">
        <f t="shared" si="10"/>
        <v>1</v>
      </c>
      <c r="N36">
        <f t="shared" si="11"/>
        <v>0</v>
      </c>
      <c r="O36" s="5">
        <v>52.8</v>
      </c>
      <c r="P36">
        <f t="shared" si="26"/>
        <v>56.212499999999991</v>
      </c>
      <c r="Q36" s="5">
        <f t="shared" si="21"/>
        <v>53.25</v>
      </c>
      <c r="R36" s="5">
        <f t="shared" si="16"/>
        <v>56.4</v>
      </c>
      <c r="S36" s="5">
        <f t="shared" si="12"/>
        <v>-3.4124999999999943</v>
      </c>
      <c r="T36" s="5">
        <f t="shared" si="13"/>
        <v>11.64515624999996</v>
      </c>
      <c r="U36">
        <f t="shared" si="14"/>
        <v>3.4124999999999943</v>
      </c>
      <c r="V36" s="4">
        <f t="shared" si="15"/>
        <v>6.4630681818181712E-2</v>
      </c>
      <c r="W36" s="5">
        <f t="shared" si="22"/>
        <v>-0.45000000000000284</v>
      </c>
      <c r="X36" s="5">
        <f t="shared" si="23"/>
        <v>0.20250000000000257</v>
      </c>
      <c r="Y36">
        <f t="shared" si="24"/>
        <v>0.45000000000000284</v>
      </c>
      <c r="Z36" s="4">
        <f t="shared" si="25"/>
        <v>8.5227272727273276E-3</v>
      </c>
      <c r="AA36" s="5">
        <f t="shared" si="17"/>
        <v>-3.6000000000000014</v>
      </c>
      <c r="AB36" s="5">
        <f t="shared" si="18"/>
        <v>12.96000000000001</v>
      </c>
      <c r="AC36">
        <f t="shared" si="19"/>
        <v>3.6000000000000014</v>
      </c>
      <c r="AD36" s="4">
        <f t="shared" si="20"/>
        <v>6.8181818181818218E-2</v>
      </c>
    </row>
    <row r="37" spans="1:30" ht="16" x14ac:dyDescent="0.2">
      <c r="A37" s="3"/>
      <c r="B37" t="s">
        <v>36</v>
      </c>
      <c r="C37">
        <v>35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0</v>
      </c>
      <c r="M37">
        <f t="shared" si="10"/>
        <v>0</v>
      </c>
      <c r="N37">
        <f t="shared" si="11"/>
        <v>1</v>
      </c>
      <c r="O37" s="5">
        <v>54</v>
      </c>
      <c r="P37">
        <f t="shared" si="26"/>
        <v>55.162499999999994</v>
      </c>
      <c r="Q37" s="5">
        <f t="shared" si="21"/>
        <v>55.05</v>
      </c>
      <c r="R37" s="5">
        <f t="shared" si="16"/>
        <v>52.8</v>
      </c>
      <c r="S37" s="5">
        <f t="shared" si="12"/>
        <v>-1.1624999999999943</v>
      </c>
      <c r="T37" s="5">
        <f t="shared" si="13"/>
        <v>1.3514062499999868</v>
      </c>
      <c r="U37">
        <f t="shared" si="14"/>
        <v>1.1624999999999943</v>
      </c>
      <c r="V37" s="4">
        <f t="shared" si="15"/>
        <v>2.1527777777777674E-2</v>
      </c>
      <c r="W37" s="5">
        <f t="shared" si="22"/>
        <v>-1.0499999999999972</v>
      </c>
      <c r="X37" s="5">
        <f t="shared" si="23"/>
        <v>1.102499999999994</v>
      </c>
      <c r="Y37">
        <f t="shared" si="24"/>
        <v>1.0499999999999972</v>
      </c>
      <c r="Z37" s="4">
        <f t="shared" si="25"/>
        <v>1.9444444444444393E-2</v>
      </c>
      <c r="AA37" s="5">
        <f t="shared" si="17"/>
        <v>1.2000000000000028</v>
      </c>
      <c r="AB37" s="5">
        <f t="shared" si="18"/>
        <v>1.4400000000000068</v>
      </c>
      <c r="AC37">
        <f t="shared" si="19"/>
        <v>1.2000000000000028</v>
      </c>
      <c r="AD37" s="4">
        <f t="shared" si="20"/>
        <v>2.2222222222222275E-2</v>
      </c>
    </row>
    <row r="38" spans="1:30" ht="16" x14ac:dyDescent="0.2">
      <c r="A38" s="3"/>
      <c r="B38" t="s">
        <v>37</v>
      </c>
      <c r="C38">
        <v>36</v>
      </c>
      <c r="D38">
        <f t="shared" si="1"/>
        <v>0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  <c r="N38">
        <f t="shared" si="11"/>
        <v>0</v>
      </c>
      <c r="O38" s="5">
        <v>60.6</v>
      </c>
      <c r="P38">
        <f t="shared" si="26"/>
        <v>61.462499999999991</v>
      </c>
      <c r="Q38" s="5">
        <f t="shared" si="21"/>
        <v>54.15</v>
      </c>
      <c r="R38" s="5">
        <f t="shared" si="16"/>
        <v>54</v>
      </c>
      <c r="S38" s="5">
        <f t="shared" si="12"/>
        <v>-0.86249999999999005</v>
      </c>
      <c r="T38" s="5">
        <f t="shared" si="13"/>
        <v>0.74390624999998289</v>
      </c>
      <c r="U38">
        <f t="shared" si="14"/>
        <v>0.86249999999999005</v>
      </c>
      <c r="V38" s="4">
        <f t="shared" si="15"/>
        <v>1.4232673267326568E-2</v>
      </c>
      <c r="W38" s="5">
        <f t="shared" si="22"/>
        <v>6.4500000000000028</v>
      </c>
      <c r="X38" s="5">
        <f t="shared" si="23"/>
        <v>41.602500000000035</v>
      </c>
      <c r="Y38">
        <f t="shared" si="24"/>
        <v>6.4500000000000028</v>
      </c>
      <c r="Z38" s="4">
        <f t="shared" si="25"/>
        <v>0.10643564356435647</v>
      </c>
      <c r="AA38" s="5">
        <f t="shared" si="17"/>
        <v>6.6000000000000014</v>
      </c>
      <c r="AB38" s="5">
        <f t="shared" si="18"/>
        <v>43.560000000000016</v>
      </c>
      <c r="AC38">
        <f t="shared" si="19"/>
        <v>6.6000000000000014</v>
      </c>
      <c r="AD38" s="4">
        <f t="shared" si="20"/>
        <v>0.10891089108910894</v>
      </c>
    </row>
    <row r="39" spans="1:30" ht="16" x14ac:dyDescent="0.2">
      <c r="A39" s="3"/>
      <c r="B39" t="s">
        <v>26</v>
      </c>
      <c r="C39">
        <v>37</v>
      </c>
      <c r="D39">
        <f t="shared" si="1"/>
        <v>1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0</v>
      </c>
      <c r="N39">
        <f t="shared" si="11"/>
        <v>0</v>
      </c>
      <c r="O39" s="5">
        <v>47.4</v>
      </c>
      <c r="P39">
        <f t="shared" si="26"/>
        <v>56.745000000000005</v>
      </c>
      <c r="Q39" s="5">
        <f t="shared" si="21"/>
        <v>55.949999999999996</v>
      </c>
      <c r="R39" s="5">
        <f t="shared" si="16"/>
        <v>60.6</v>
      </c>
      <c r="S39" s="5">
        <f t="shared" si="12"/>
        <v>-9.345000000000006</v>
      </c>
      <c r="T39" s="5">
        <f t="shared" si="13"/>
        <v>87.329025000000115</v>
      </c>
      <c r="U39">
        <f t="shared" si="14"/>
        <v>9.345000000000006</v>
      </c>
      <c r="V39" s="4">
        <f t="shared" si="15"/>
        <v>0.19715189873417735</v>
      </c>
      <c r="W39" s="5">
        <f t="shared" si="22"/>
        <v>-8.5499999999999972</v>
      </c>
      <c r="X39" s="5">
        <f t="shared" si="23"/>
        <v>73.102499999999949</v>
      </c>
      <c r="Y39">
        <f t="shared" si="24"/>
        <v>8.5499999999999972</v>
      </c>
      <c r="Z39" s="4">
        <f t="shared" si="25"/>
        <v>0.18037974683544297</v>
      </c>
      <c r="AA39" s="5">
        <f t="shared" si="17"/>
        <v>-13.200000000000003</v>
      </c>
      <c r="AB39" s="5">
        <f t="shared" si="18"/>
        <v>174.24000000000007</v>
      </c>
      <c r="AC39">
        <f t="shared" si="19"/>
        <v>13.200000000000003</v>
      </c>
      <c r="AD39" s="4">
        <f t="shared" si="20"/>
        <v>0.27848101265822789</v>
      </c>
    </row>
    <row r="40" spans="1:30" ht="16" x14ac:dyDescent="0.2">
      <c r="A40" s="3"/>
      <c r="B40" t="s">
        <v>27</v>
      </c>
      <c r="C40">
        <v>38</v>
      </c>
      <c r="D40">
        <f t="shared" si="1"/>
        <v>0</v>
      </c>
      <c r="E40">
        <f t="shared" si="2"/>
        <v>1</v>
      </c>
      <c r="F40">
        <f t="shared" si="3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0</v>
      </c>
      <c r="M40">
        <f t="shared" si="10"/>
        <v>0</v>
      </c>
      <c r="N40">
        <f t="shared" si="11"/>
        <v>0</v>
      </c>
      <c r="O40" s="5">
        <v>54.6</v>
      </c>
      <c r="P40">
        <f t="shared" si="26"/>
        <v>59.624999999999986</v>
      </c>
      <c r="Q40" s="5">
        <f t="shared" si="21"/>
        <v>53.7</v>
      </c>
      <c r="R40" s="5">
        <f t="shared" si="16"/>
        <v>47.4</v>
      </c>
      <c r="S40" s="5">
        <f t="shared" si="12"/>
        <v>-5.0249999999999844</v>
      </c>
      <c r="T40" s="5">
        <f t="shared" si="13"/>
        <v>25.250624999999843</v>
      </c>
      <c r="U40">
        <f t="shared" si="14"/>
        <v>5.0249999999999844</v>
      </c>
      <c r="V40" s="4">
        <f t="shared" si="15"/>
        <v>9.2032967032966748E-2</v>
      </c>
      <c r="W40" s="5">
        <f t="shared" si="22"/>
        <v>0.89999999999999858</v>
      </c>
      <c r="X40" s="5">
        <f t="shared" si="23"/>
        <v>0.80999999999999739</v>
      </c>
      <c r="Y40">
        <f t="shared" si="24"/>
        <v>0.89999999999999858</v>
      </c>
      <c r="Z40" s="4">
        <f t="shared" si="25"/>
        <v>1.6483516483516456E-2</v>
      </c>
      <c r="AA40" s="5">
        <f t="shared" si="17"/>
        <v>7.2000000000000028</v>
      </c>
      <c r="AB40" s="5">
        <f t="shared" si="18"/>
        <v>51.840000000000039</v>
      </c>
      <c r="AC40">
        <f t="shared" si="19"/>
        <v>7.2000000000000028</v>
      </c>
      <c r="AD40" s="4">
        <f t="shared" si="20"/>
        <v>0.13186813186813193</v>
      </c>
    </row>
    <row r="41" spans="1:30" ht="16" x14ac:dyDescent="0.2">
      <c r="A41" s="3"/>
      <c r="B41" t="s">
        <v>28</v>
      </c>
      <c r="C41">
        <v>39</v>
      </c>
      <c r="D41">
        <f t="shared" si="1"/>
        <v>0</v>
      </c>
      <c r="E41">
        <f t="shared" si="2"/>
        <v>0</v>
      </c>
      <c r="F41">
        <f t="shared" si="3"/>
        <v>1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0</v>
      </c>
      <c r="M41">
        <f t="shared" si="10"/>
        <v>0</v>
      </c>
      <c r="N41">
        <f t="shared" si="11"/>
        <v>0</v>
      </c>
      <c r="O41" s="5">
        <v>67.8</v>
      </c>
      <c r="P41">
        <f t="shared" si="26"/>
        <v>73.064999999999984</v>
      </c>
      <c r="Q41" s="5">
        <f t="shared" si="21"/>
        <v>54.15</v>
      </c>
      <c r="R41" s="5">
        <f t="shared" si="16"/>
        <v>54.6</v>
      </c>
      <c r="S41" s="5">
        <f t="shared" si="12"/>
        <v>-5.2649999999999864</v>
      </c>
      <c r="T41" s="5">
        <f t="shared" si="13"/>
        <v>27.720224999999857</v>
      </c>
      <c r="U41">
        <f t="shared" si="14"/>
        <v>5.2649999999999864</v>
      </c>
      <c r="V41" s="4">
        <f t="shared" si="15"/>
        <v>7.7654867256636964E-2</v>
      </c>
      <c r="W41" s="5">
        <f t="shared" si="22"/>
        <v>13.649999999999999</v>
      </c>
      <c r="X41" s="5">
        <f t="shared" si="23"/>
        <v>186.32249999999996</v>
      </c>
      <c r="Y41">
        <f t="shared" si="24"/>
        <v>13.649999999999999</v>
      </c>
      <c r="Z41" s="4">
        <f t="shared" si="25"/>
        <v>0.20132743362831856</v>
      </c>
      <c r="AA41" s="5">
        <f t="shared" si="17"/>
        <v>13.199999999999996</v>
      </c>
      <c r="AB41" s="5">
        <f t="shared" si="18"/>
        <v>174.2399999999999</v>
      </c>
      <c r="AC41">
        <f t="shared" si="19"/>
        <v>13.199999999999996</v>
      </c>
      <c r="AD41" s="4">
        <f t="shared" si="20"/>
        <v>0.19469026548672561</v>
      </c>
    </row>
    <row r="42" spans="1:30" ht="16" x14ac:dyDescent="0.2">
      <c r="A42" s="3"/>
      <c r="B42" t="s">
        <v>29</v>
      </c>
      <c r="C42">
        <v>40</v>
      </c>
      <c r="D42">
        <f t="shared" si="1"/>
        <v>0</v>
      </c>
      <c r="E42">
        <f t="shared" si="2"/>
        <v>0</v>
      </c>
      <c r="F42">
        <f t="shared" si="3"/>
        <v>0</v>
      </c>
      <c r="G42">
        <f t="shared" si="4"/>
        <v>1</v>
      </c>
      <c r="H42">
        <f t="shared" si="5"/>
        <v>0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0</v>
      </c>
      <c r="N42">
        <f t="shared" si="11"/>
        <v>0</v>
      </c>
      <c r="O42" s="5">
        <v>100.2</v>
      </c>
      <c r="P42">
        <f t="shared" si="26"/>
        <v>111.94499999999999</v>
      </c>
      <c r="Q42" s="5">
        <f t="shared" si="21"/>
        <v>57.599999999999994</v>
      </c>
      <c r="R42" s="5">
        <f t="shared" si="16"/>
        <v>67.8</v>
      </c>
      <c r="S42" s="5">
        <f t="shared" si="12"/>
        <v>-11.74499999999999</v>
      </c>
      <c r="T42" s="5">
        <f t="shared" si="13"/>
        <v>137.94502499999976</v>
      </c>
      <c r="U42">
        <f t="shared" si="14"/>
        <v>11.74499999999999</v>
      </c>
      <c r="V42" s="4">
        <f t="shared" si="15"/>
        <v>0.11721556886227535</v>
      </c>
      <c r="W42" s="5">
        <f t="shared" si="22"/>
        <v>42.600000000000009</v>
      </c>
      <c r="X42" s="5">
        <f t="shared" si="23"/>
        <v>1814.7600000000007</v>
      </c>
      <c r="Y42">
        <f t="shared" si="24"/>
        <v>42.600000000000009</v>
      </c>
      <c r="Z42" s="4">
        <f t="shared" si="25"/>
        <v>0.42514970059880247</v>
      </c>
      <c r="AA42" s="5">
        <f t="shared" si="17"/>
        <v>32.400000000000006</v>
      </c>
      <c r="AB42" s="5">
        <f t="shared" si="18"/>
        <v>1049.7600000000004</v>
      </c>
      <c r="AC42">
        <f t="shared" si="19"/>
        <v>32.400000000000006</v>
      </c>
      <c r="AD42" s="4">
        <f t="shared" si="20"/>
        <v>0.3233532934131737</v>
      </c>
    </row>
    <row r="43" spans="1:30" ht="16" x14ac:dyDescent="0.2">
      <c r="B43" t="s">
        <v>30</v>
      </c>
      <c r="C43">
        <v>41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1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0</v>
      </c>
      <c r="N43">
        <f t="shared" si="11"/>
        <v>0</v>
      </c>
      <c r="O43" s="5">
        <v>48</v>
      </c>
      <c r="P43">
        <f t="shared" si="26"/>
        <v>47.587499999999999</v>
      </c>
      <c r="Q43" s="5">
        <f t="shared" si="21"/>
        <v>67.5</v>
      </c>
      <c r="R43" s="5">
        <f t="shared" si="16"/>
        <v>100.2</v>
      </c>
      <c r="S43" s="5">
        <f t="shared" si="12"/>
        <v>0.41250000000000142</v>
      </c>
      <c r="T43" s="5">
        <f t="shared" si="13"/>
        <v>0.17015625000000117</v>
      </c>
      <c r="U43">
        <f t="shared" si="14"/>
        <v>0.41250000000000142</v>
      </c>
      <c r="V43" s="4">
        <f t="shared" si="15"/>
        <v>8.5937500000000302E-3</v>
      </c>
      <c r="W43" s="5">
        <f t="shared" si="22"/>
        <v>-19.5</v>
      </c>
      <c r="X43" s="5">
        <f t="shared" si="23"/>
        <v>380.25</v>
      </c>
      <c r="Y43">
        <f t="shared" si="24"/>
        <v>19.5</v>
      </c>
      <c r="Z43" s="4">
        <f t="shared" si="25"/>
        <v>0.40625</v>
      </c>
      <c r="AA43" s="5">
        <f t="shared" si="17"/>
        <v>-52.2</v>
      </c>
      <c r="AB43" s="5">
        <f t="shared" si="18"/>
        <v>2724.84</v>
      </c>
      <c r="AC43">
        <f t="shared" si="19"/>
        <v>52.2</v>
      </c>
      <c r="AD43" s="4">
        <f t="shared" si="20"/>
        <v>1.0875000000000001</v>
      </c>
    </row>
    <row r="44" spans="1:30" ht="16" x14ac:dyDescent="0.2">
      <c r="A44" s="3"/>
      <c r="B44" t="s">
        <v>31</v>
      </c>
      <c r="C44">
        <v>42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1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0</v>
      </c>
      <c r="N44">
        <f t="shared" si="11"/>
        <v>0</v>
      </c>
      <c r="O44" s="5">
        <v>51.6</v>
      </c>
      <c r="P44">
        <f t="shared" si="26"/>
        <v>49.6875</v>
      </c>
      <c r="Q44" s="5">
        <f t="shared" si="21"/>
        <v>67.650000000000006</v>
      </c>
      <c r="R44" s="5">
        <f t="shared" si="16"/>
        <v>48</v>
      </c>
      <c r="S44" s="5">
        <f t="shared" si="12"/>
        <v>1.9125000000000014</v>
      </c>
      <c r="T44" s="5">
        <f t="shared" si="13"/>
        <v>3.6576562500000054</v>
      </c>
      <c r="U44">
        <f t="shared" si="14"/>
        <v>1.9125000000000014</v>
      </c>
      <c r="V44" s="4">
        <f t="shared" si="15"/>
        <v>3.7063953488372117E-2</v>
      </c>
      <c r="W44" s="5">
        <f t="shared" si="22"/>
        <v>-16.050000000000004</v>
      </c>
      <c r="X44" s="5">
        <f t="shared" si="23"/>
        <v>257.60250000000013</v>
      </c>
      <c r="Y44">
        <f t="shared" si="24"/>
        <v>16.050000000000004</v>
      </c>
      <c r="Z44" s="4">
        <f t="shared" si="25"/>
        <v>0.31104651162790703</v>
      </c>
      <c r="AA44" s="5">
        <f t="shared" si="17"/>
        <v>3.6000000000000014</v>
      </c>
      <c r="AB44" s="5">
        <f t="shared" si="18"/>
        <v>12.96000000000001</v>
      </c>
      <c r="AC44">
        <f t="shared" si="19"/>
        <v>3.6000000000000014</v>
      </c>
      <c r="AD44" s="4">
        <f t="shared" si="20"/>
        <v>6.9767441860465143E-2</v>
      </c>
    </row>
    <row r="45" spans="1:30" ht="16" x14ac:dyDescent="0.2">
      <c r="A45" s="3"/>
      <c r="B45" t="s">
        <v>32</v>
      </c>
      <c r="C45">
        <v>43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1</v>
      </c>
      <c r="K45">
        <f t="shared" si="8"/>
        <v>0</v>
      </c>
      <c r="L45">
        <f t="shared" si="9"/>
        <v>0</v>
      </c>
      <c r="M45">
        <f t="shared" si="10"/>
        <v>0</v>
      </c>
      <c r="N45">
        <f t="shared" si="11"/>
        <v>0</v>
      </c>
      <c r="O45" s="5">
        <v>57.6</v>
      </c>
      <c r="P45">
        <f t="shared" si="26"/>
        <v>59.887499999999996</v>
      </c>
      <c r="Q45" s="5">
        <f t="shared" si="21"/>
        <v>66.900000000000006</v>
      </c>
      <c r="R45" s="5">
        <f t="shared" si="16"/>
        <v>51.6</v>
      </c>
      <c r="S45" s="5">
        <f t="shared" si="12"/>
        <v>-2.2874999999999943</v>
      </c>
      <c r="T45" s="5">
        <f t="shared" si="13"/>
        <v>5.232656249999974</v>
      </c>
      <c r="U45">
        <f t="shared" si="14"/>
        <v>2.2874999999999943</v>
      </c>
      <c r="V45" s="4">
        <f t="shared" si="15"/>
        <v>3.9713541666666567E-2</v>
      </c>
      <c r="W45" s="5">
        <f t="shared" si="22"/>
        <v>-9.3000000000000043</v>
      </c>
      <c r="X45" s="5">
        <f t="shared" si="23"/>
        <v>86.49000000000008</v>
      </c>
      <c r="Y45">
        <f t="shared" si="24"/>
        <v>9.3000000000000043</v>
      </c>
      <c r="Z45" s="4">
        <f t="shared" si="25"/>
        <v>0.1614583333333334</v>
      </c>
      <c r="AA45" s="5">
        <f t="shared" si="17"/>
        <v>6</v>
      </c>
      <c r="AB45" s="5">
        <f t="shared" si="18"/>
        <v>36</v>
      </c>
      <c r="AC45">
        <f t="shared" si="19"/>
        <v>6</v>
      </c>
      <c r="AD45" s="4">
        <f t="shared" si="20"/>
        <v>0.10416666666666666</v>
      </c>
    </row>
    <row r="46" spans="1:30" ht="16" x14ac:dyDescent="0.2">
      <c r="A46" s="3"/>
      <c r="B46" t="s">
        <v>33</v>
      </c>
      <c r="C46">
        <v>44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1</v>
      </c>
      <c r="L46">
        <f t="shared" si="9"/>
        <v>0</v>
      </c>
      <c r="M46">
        <f t="shared" si="10"/>
        <v>0</v>
      </c>
      <c r="N46">
        <f t="shared" si="11"/>
        <v>0</v>
      </c>
      <c r="O46" s="5">
        <v>58.2</v>
      </c>
      <c r="P46">
        <f t="shared" si="26"/>
        <v>58.087499999999999</v>
      </c>
      <c r="Q46" s="5">
        <f t="shared" si="21"/>
        <v>64.349999999999994</v>
      </c>
      <c r="R46" s="5">
        <f t="shared" si="16"/>
        <v>57.6</v>
      </c>
      <c r="S46" s="5">
        <f t="shared" si="12"/>
        <v>0.11250000000000426</v>
      </c>
      <c r="T46" s="5">
        <f t="shared" si="13"/>
        <v>1.2656250000000958E-2</v>
      </c>
      <c r="U46">
        <f t="shared" si="14"/>
        <v>0.11250000000000426</v>
      </c>
      <c r="V46" s="4">
        <f t="shared" si="15"/>
        <v>1.9329896907217226E-3</v>
      </c>
      <c r="W46" s="5">
        <f t="shared" si="22"/>
        <v>-6.1499999999999915</v>
      </c>
      <c r="X46" s="5">
        <f t="shared" si="23"/>
        <v>37.822499999999899</v>
      </c>
      <c r="Y46">
        <f t="shared" si="24"/>
        <v>6.1499999999999915</v>
      </c>
      <c r="Z46" s="4">
        <f t="shared" si="25"/>
        <v>0.10567010309278335</v>
      </c>
      <c r="AA46" s="5">
        <f t="shared" si="17"/>
        <v>0.60000000000000142</v>
      </c>
      <c r="AB46" s="5">
        <f t="shared" si="18"/>
        <v>0.36000000000000171</v>
      </c>
      <c r="AC46">
        <f t="shared" si="19"/>
        <v>0.60000000000000142</v>
      </c>
      <c r="AD46" s="4">
        <f t="shared" si="20"/>
        <v>1.0309278350515488E-2</v>
      </c>
    </row>
    <row r="47" spans="1:30" ht="16" x14ac:dyDescent="0.2">
      <c r="A47" s="3">
        <v>5</v>
      </c>
      <c r="B47" t="s">
        <v>34</v>
      </c>
      <c r="C47">
        <v>45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1</v>
      </c>
      <c r="M47">
        <f t="shared" si="10"/>
        <v>0</v>
      </c>
      <c r="N47">
        <f t="shared" si="11"/>
        <v>0</v>
      </c>
      <c r="O47" s="5">
        <v>60</v>
      </c>
      <c r="P47">
        <f t="shared" si="26"/>
        <v>60.937499999999993</v>
      </c>
      <c r="Q47" s="5">
        <f t="shared" si="21"/>
        <v>53.849999999999994</v>
      </c>
      <c r="R47" s="5">
        <f t="shared" si="16"/>
        <v>58.2</v>
      </c>
      <c r="S47" s="5">
        <f t="shared" si="12"/>
        <v>-0.93749999999999289</v>
      </c>
      <c r="T47" s="5">
        <f t="shared" si="13"/>
        <v>0.87890624999998668</v>
      </c>
      <c r="U47">
        <f t="shared" si="14"/>
        <v>0.93749999999999289</v>
      </c>
      <c r="V47" s="4">
        <f t="shared" si="15"/>
        <v>1.5624999999999882E-2</v>
      </c>
      <c r="W47" s="5">
        <f t="shared" si="22"/>
        <v>6.1500000000000057</v>
      </c>
      <c r="X47" s="5">
        <f t="shared" si="23"/>
        <v>37.822500000000069</v>
      </c>
      <c r="Y47">
        <f t="shared" si="24"/>
        <v>6.1500000000000057</v>
      </c>
      <c r="Z47" s="4">
        <f t="shared" si="25"/>
        <v>0.10250000000000009</v>
      </c>
      <c r="AA47" s="5">
        <f t="shared" si="17"/>
        <v>1.7999999999999972</v>
      </c>
      <c r="AB47" s="5">
        <f t="shared" si="18"/>
        <v>3.2399999999999896</v>
      </c>
      <c r="AC47">
        <f t="shared" si="19"/>
        <v>1.7999999999999972</v>
      </c>
      <c r="AD47" s="4">
        <f t="shared" si="20"/>
        <v>2.9999999999999954E-2</v>
      </c>
    </row>
    <row r="48" spans="1:30" ht="16" x14ac:dyDescent="0.2">
      <c r="A48" s="3"/>
      <c r="B48" t="s">
        <v>35</v>
      </c>
      <c r="C48">
        <v>46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0</v>
      </c>
      <c r="M48">
        <f t="shared" si="10"/>
        <v>1</v>
      </c>
      <c r="N48">
        <f t="shared" si="11"/>
        <v>0</v>
      </c>
      <c r="O48" s="5">
        <v>57</v>
      </c>
      <c r="P48">
        <f t="shared" si="26"/>
        <v>57.037499999999994</v>
      </c>
      <c r="Q48" s="5">
        <f t="shared" si="21"/>
        <v>56.85</v>
      </c>
      <c r="R48" s="5">
        <f t="shared" si="16"/>
        <v>60</v>
      </c>
      <c r="S48" s="5">
        <f t="shared" si="12"/>
        <v>-3.7499999999994316E-2</v>
      </c>
      <c r="T48" s="5">
        <f t="shared" si="13"/>
        <v>1.4062499999995736E-3</v>
      </c>
      <c r="U48">
        <f t="shared" si="14"/>
        <v>3.7499999999994316E-2</v>
      </c>
      <c r="V48" s="4">
        <f t="shared" si="15"/>
        <v>6.578947368420055E-4</v>
      </c>
      <c r="W48" s="5">
        <f t="shared" si="22"/>
        <v>0.14999999999999858</v>
      </c>
      <c r="X48" s="5">
        <f t="shared" si="23"/>
        <v>2.2499999999999572E-2</v>
      </c>
      <c r="Y48">
        <f t="shared" si="24"/>
        <v>0.14999999999999858</v>
      </c>
      <c r="Z48" s="4">
        <f t="shared" si="25"/>
        <v>2.6315789473683963E-3</v>
      </c>
      <c r="AA48" s="5">
        <f t="shared" si="17"/>
        <v>-3</v>
      </c>
      <c r="AB48" s="5">
        <f t="shared" si="18"/>
        <v>9</v>
      </c>
      <c r="AC48">
        <f t="shared" si="19"/>
        <v>3</v>
      </c>
      <c r="AD48" s="4">
        <f t="shared" si="20"/>
        <v>5.2631578947368418E-2</v>
      </c>
    </row>
    <row r="49" spans="1:30" ht="16" x14ac:dyDescent="0.2">
      <c r="A49" s="3"/>
      <c r="B49" t="s">
        <v>36</v>
      </c>
      <c r="C49">
        <v>47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0</v>
      </c>
      <c r="N49">
        <f t="shared" si="11"/>
        <v>1</v>
      </c>
      <c r="O49" s="5">
        <v>57.6</v>
      </c>
      <c r="P49">
        <f t="shared" si="26"/>
        <v>55.987499999999997</v>
      </c>
      <c r="Q49" s="5">
        <f t="shared" si="21"/>
        <v>58.2</v>
      </c>
      <c r="R49" s="5">
        <f t="shared" si="16"/>
        <v>57</v>
      </c>
      <c r="S49" s="5">
        <f t="shared" si="12"/>
        <v>1.6125000000000043</v>
      </c>
      <c r="T49" s="5">
        <f t="shared" si="13"/>
        <v>2.6001562500000137</v>
      </c>
      <c r="U49">
        <f t="shared" si="14"/>
        <v>1.6125000000000043</v>
      </c>
      <c r="V49" s="4">
        <f t="shared" si="15"/>
        <v>2.7994791666666741E-2</v>
      </c>
      <c r="W49" s="5">
        <f t="shared" si="22"/>
        <v>-0.60000000000000142</v>
      </c>
      <c r="X49" s="5">
        <f t="shared" si="23"/>
        <v>0.36000000000000171</v>
      </c>
      <c r="Y49">
        <f t="shared" si="24"/>
        <v>0.60000000000000142</v>
      </c>
      <c r="Z49" s="4">
        <f t="shared" si="25"/>
        <v>1.041666666666669E-2</v>
      </c>
      <c r="AA49" s="5">
        <f t="shared" si="17"/>
        <v>0.60000000000000142</v>
      </c>
      <c r="AB49" s="5">
        <f t="shared" si="18"/>
        <v>0.36000000000000171</v>
      </c>
      <c r="AC49">
        <f t="shared" si="19"/>
        <v>0.60000000000000142</v>
      </c>
      <c r="AD49" s="4">
        <f t="shared" si="20"/>
        <v>1.041666666666669E-2</v>
      </c>
    </row>
    <row r="50" spans="1:30" ht="16" x14ac:dyDescent="0.2">
      <c r="A50" s="3"/>
      <c r="B50" t="s">
        <v>37</v>
      </c>
      <c r="C50">
        <v>48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0</v>
      </c>
      <c r="N50">
        <f t="shared" si="11"/>
        <v>0</v>
      </c>
      <c r="O50" s="5">
        <v>61.8</v>
      </c>
      <c r="P50">
        <f t="shared" si="26"/>
        <v>62.287499999999987</v>
      </c>
      <c r="Q50" s="5">
        <f t="shared" si="21"/>
        <v>58.199999999999996</v>
      </c>
      <c r="R50" s="5">
        <f t="shared" si="16"/>
        <v>57.6</v>
      </c>
      <c r="S50" s="5">
        <f t="shared" si="12"/>
        <v>-0.48749999999999005</v>
      </c>
      <c r="T50" s="5">
        <f t="shared" si="13"/>
        <v>0.2376562499999903</v>
      </c>
      <c r="U50">
        <f t="shared" si="14"/>
        <v>0.48749999999999005</v>
      </c>
      <c r="V50" s="4">
        <f t="shared" si="15"/>
        <v>7.8883495145629454E-3</v>
      </c>
      <c r="W50" s="5">
        <f t="shared" si="22"/>
        <v>3.6000000000000014</v>
      </c>
      <c r="X50" s="5">
        <f t="shared" si="23"/>
        <v>12.96000000000001</v>
      </c>
      <c r="Y50">
        <f t="shared" si="24"/>
        <v>3.6000000000000014</v>
      </c>
      <c r="Z50" s="4">
        <f t="shared" si="25"/>
        <v>5.8252427184466042E-2</v>
      </c>
      <c r="AA50" s="5">
        <f t="shared" si="17"/>
        <v>4.1999999999999957</v>
      </c>
      <c r="AB50" s="5">
        <f t="shared" si="18"/>
        <v>17.639999999999965</v>
      </c>
      <c r="AC50">
        <f t="shared" si="19"/>
        <v>4.1999999999999957</v>
      </c>
      <c r="AD50" s="4">
        <f t="shared" si="20"/>
        <v>6.7961165048543618E-2</v>
      </c>
    </row>
    <row r="51" spans="1:30" ht="16" x14ac:dyDescent="0.2">
      <c r="A51" s="3"/>
      <c r="B51" t="s">
        <v>26</v>
      </c>
      <c r="C51">
        <v>49</v>
      </c>
      <c r="D51">
        <f t="shared" si="1"/>
        <v>1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0</v>
      </c>
      <c r="N51">
        <f t="shared" si="11"/>
        <v>0</v>
      </c>
      <c r="O51" s="5">
        <v>69</v>
      </c>
      <c r="P51" s="12">
        <f t="shared" si="26"/>
        <v>57.57</v>
      </c>
      <c r="Q51" s="17">
        <f t="shared" si="21"/>
        <v>59.099999999999994</v>
      </c>
      <c r="R51" s="36">
        <f t="shared" si="16"/>
        <v>61.8</v>
      </c>
      <c r="S51" s="5">
        <f t="shared" si="12"/>
        <v>11.43</v>
      </c>
      <c r="T51" s="5">
        <f t="shared" si="13"/>
        <v>130.64490000000001</v>
      </c>
      <c r="U51">
        <f t="shared" si="14"/>
        <v>11.43</v>
      </c>
      <c r="V51" s="4">
        <f t="shared" si="15"/>
        <v>0.16565217391304349</v>
      </c>
      <c r="W51" s="5">
        <f t="shared" si="22"/>
        <v>9.9000000000000057</v>
      </c>
      <c r="X51" s="5">
        <f t="shared" si="23"/>
        <v>98.010000000000119</v>
      </c>
      <c r="Y51">
        <f t="shared" si="24"/>
        <v>9.9000000000000057</v>
      </c>
      <c r="Z51" s="4">
        <f t="shared" si="25"/>
        <v>0.14347826086956531</v>
      </c>
      <c r="AA51" s="5">
        <f t="shared" si="17"/>
        <v>7.2000000000000028</v>
      </c>
      <c r="AB51" s="5">
        <f t="shared" si="18"/>
        <v>51.840000000000039</v>
      </c>
      <c r="AC51">
        <f t="shared" si="19"/>
        <v>7.2000000000000028</v>
      </c>
      <c r="AD51" s="4">
        <f t="shared" si="20"/>
        <v>0.10434782608695656</v>
      </c>
    </row>
    <row r="52" spans="1:30" ht="16" x14ac:dyDescent="0.2">
      <c r="A52" s="3"/>
      <c r="B52" t="s">
        <v>27</v>
      </c>
      <c r="C52">
        <v>50</v>
      </c>
      <c r="D52">
        <f t="shared" si="1"/>
        <v>0</v>
      </c>
      <c r="E52">
        <f t="shared" si="2"/>
        <v>1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0</v>
      </c>
      <c r="L52">
        <f t="shared" si="9"/>
        <v>0</v>
      </c>
      <c r="M52">
        <f t="shared" si="10"/>
        <v>0</v>
      </c>
      <c r="N52">
        <f t="shared" si="11"/>
        <v>0</v>
      </c>
      <c r="O52" s="5">
        <v>75</v>
      </c>
      <c r="P52" s="12">
        <f t="shared" si="26"/>
        <v>60.449999999999989</v>
      </c>
      <c r="Q52" s="17">
        <f t="shared" si="21"/>
        <v>61.349999999999994</v>
      </c>
      <c r="R52" s="36">
        <f>O51</f>
        <v>69</v>
      </c>
      <c r="S52" s="5">
        <f t="shared" si="12"/>
        <v>14.550000000000011</v>
      </c>
      <c r="T52" s="5">
        <f t="shared" si="13"/>
        <v>211.70250000000033</v>
      </c>
      <c r="U52">
        <f t="shared" si="14"/>
        <v>14.550000000000011</v>
      </c>
      <c r="V52" s="4">
        <f t="shared" si="15"/>
        <v>0.19400000000000014</v>
      </c>
      <c r="W52" s="5">
        <f t="shared" si="22"/>
        <v>13.650000000000006</v>
      </c>
      <c r="X52" s="5">
        <f t="shared" si="23"/>
        <v>186.32250000000016</v>
      </c>
      <c r="Y52">
        <f t="shared" si="24"/>
        <v>13.650000000000006</v>
      </c>
      <c r="Z52" s="4">
        <f t="shared" si="25"/>
        <v>0.18200000000000008</v>
      </c>
      <c r="AA52" s="5">
        <f>O52-R52</f>
        <v>6</v>
      </c>
      <c r="AB52" s="5">
        <f t="shared" si="18"/>
        <v>36</v>
      </c>
      <c r="AC52">
        <f t="shared" si="19"/>
        <v>6</v>
      </c>
      <c r="AD52" s="4">
        <f t="shared" si="20"/>
        <v>0.08</v>
      </c>
    </row>
    <row r="53" spans="1:30" ht="16" x14ac:dyDescent="0.2">
      <c r="A53" s="3"/>
      <c r="B53" t="s">
        <v>28</v>
      </c>
      <c r="C53">
        <v>51</v>
      </c>
      <c r="D53">
        <f t="shared" si="1"/>
        <v>0</v>
      </c>
      <c r="E53">
        <f t="shared" si="2"/>
        <v>0</v>
      </c>
      <c r="F53">
        <f t="shared" si="3"/>
        <v>1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0</v>
      </c>
      <c r="N53">
        <f t="shared" si="11"/>
        <v>0</v>
      </c>
      <c r="O53" s="5">
        <v>85.2</v>
      </c>
      <c r="P53" s="12">
        <f t="shared" si="26"/>
        <v>73.889999999999986</v>
      </c>
      <c r="Q53" s="17">
        <f t="shared" si="21"/>
        <v>65.849999999999994</v>
      </c>
      <c r="R53" s="36">
        <f t="shared" si="16"/>
        <v>75</v>
      </c>
      <c r="S53" s="5">
        <f t="shared" si="12"/>
        <v>11.310000000000016</v>
      </c>
      <c r="T53" s="5">
        <f t="shared" si="13"/>
        <v>127.91610000000037</v>
      </c>
      <c r="U53">
        <f t="shared" si="14"/>
        <v>11.310000000000016</v>
      </c>
      <c r="V53" s="4">
        <f t="shared" si="15"/>
        <v>0.13274647887323962</v>
      </c>
      <c r="W53" s="5">
        <f t="shared" si="22"/>
        <v>19.350000000000009</v>
      </c>
      <c r="X53" s="5">
        <f t="shared" si="23"/>
        <v>374.42250000000035</v>
      </c>
      <c r="Y53">
        <f t="shared" si="24"/>
        <v>19.350000000000009</v>
      </c>
      <c r="Z53" s="4">
        <f t="shared" si="25"/>
        <v>0.22711267605633811</v>
      </c>
      <c r="AA53" s="5">
        <f t="shared" si="17"/>
        <v>10.200000000000003</v>
      </c>
      <c r="AB53" s="5">
        <f t="shared" si="18"/>
        <v>104.04000000000006</v>
      </c>
      <c r="AC53">
        <f t="shared" si="19"/>
        <v>10.200000000000003</v>
      </c>
      <c r="AD53" s="4">
        <f t="shared" si="20"/>
        <v>0.11971830985915496</v>
      </c>
    </row>
    <row r="54" spans="1:30" ht="16" x14ac:dyDescent="0.2">
      <c r="A54" s="3"/>
      <c r="B54" t="s">
        <v>29</v>
      </c>
      <c r="C54">
        <v>52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1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0</v>
      </c>
      <c r="N54">
        <f t="shared" si="11"/>
        <v>0</v>
      </c>
      <c r="O54" s="5">
        <v>121.8</v>
      </c>
      <c r="P54" s="12">
        <f t="shared" si="26"/>
        <v>112.77</v>
      </c>
      <c r="Q54" s="17">
        <f t="shared" si="21"/>
        <v>72.75</v>
      </c>
      <c r="R54" s="36">
        <f t="shared" si="16"/>
        <v>85.2</v>
      </c>
      <c r="S54" s="5">
        <f t="shared" si="12"/>
        <v>9.0300000000000011</v>
      </c>
      <c r="T54" s="5">
        <f t="shared" si="13"/>
        <v>81.540900000000022</v>
      </c>
      <c r="U54">
        <f t="shared" si="14"/>
        <v>9.0300000000000011</v>
      </c>
      <c r="V54" s="4">
        <f t="shared" si="15"/>
        <v>7.4137931034482768E-2</v>
      </c>
      <c r="W54" s="5">
        <f t="shared" si="22"/>
        <v>49.05</v>
      </c>
      <c r="X54" s="5">
        <f t="shared" si="23"/>
        <v>2405.9024999999997</v>
      </c>
      <c r="Y54">
        <f t="shared" si="24"/>
        <v>49.05</v>
      </c>
      <c r="Z54" s="4">
        <f t="shared" si="25"/>
        <v>0.40270935960591131</v>
      </c>
      <c r="AA54" s="5">
        <f t="shared" si="17"/>
        <v>36.599999999999994</v>
      </c>
      <c r="AB54" s="5">
        <f t="shared" si="18"/>
        <v>1339.5599999999995</v>
      </c>
      <c r="AC54">
        <f t="shared" si="19"/>
        <v>36.599999999999994</v>
      </c>
      <c r="AD54" s="4">
        <f t="shared" si="20"/>
        <v>0.30049261083743839</v>
      </c>
    </row>
    <row r="56" spans="1:30" ht="15.75" customHeight="1" x14ac:dyDescent="0.2">
      <c r="O56" s="44">
        <f>SUM(O51:O54)</f>
        <v>351</v>
      </c>
      <c r="P56" s="12">
        <f>SUM(P51:P54)</f>
        <v>304.67999999999995</v>
      </c>
      <c r="S56" s="29"/>
      <c r="T56" s="23" t="s">
        <v>38</v>
      </c>
      <c r="U56" s="23" t="s">
        <v>39</v>
      </c>
      <c r="V56" s="23" t="s">
        <v>40</v>
      </c>
    </row>
    <row r="57" spans="1:30" ht="15.75" customHeight="1" x14ac:dyDescent="0.2">
      <c r="A57" t="s">
        <v>41</v>
      </c>
      <c r="B57" t="s">
        <v>5</v>
      </c>
      <c r="C57" t="s">
        <v>6</v>
      </c>
      <c r="D57" t="s">
        <v>7</v>
      </c>
      <c r="E57" t="s">
        <v>8</v>
      </c>
      <c r="F57" t="s">
        <v>9</v>
      </c>
      <c r="G57" t="s">
        <v>10</v>
      </c>
      <c r="H57" t="s">
        <v>11</v>
      </c>
      <c r="I57" t="s">
        <v>12</v>
      </c>
      <c r="J57" t="s">
        <v>13</v>
      </c>
      <c r="K57" t="s">
        <v>14</v>
      </c>
      <c r="L57" t="s">
        <v>15</v>
      </c>
      <c r="M57" s="8" t="s">
        <v>16</v>
      </c>
      <c r="S57" s="23" t="s">
        <v>42</v>
      </c>
      <c r="T57" s="30">
        <f>AVERAGE(T3:T54)</f>
        <v>24.63957692307692</v>
      </c>
      <c r="U57" s="17">
        <f>AVERAGE(X7:X54)</f>
        <v>327.59671875000004</v>
      </c>
      <c r="V57" s="36">
        <f>AVERAGE(AB4:AB54)</f>
        <v>500.0470588235296</v>
      </c>
    </row>
    <row r="58" spans="1:30" ht="16" x14ac:dyDescent="0.2">
      <c r="A58">
        <v>58.98749999999999</v>
      </c>
      <c r="B58">
        <v>6.8750000000000006E-2</v>
      </c>
      <c r="C58">
        <v>-4.7862499999999901</v>
      </c>
      <c r="D58">
        <v>-1.9749999999999981</v>
      </c>
      <c r="E58">
        <v>11.39625</v>
      </c>
      <c r="F58">
        <v>50.207500000000003</v>
      </c>
      <c r="G58">
        <v>-14.218749999999991</v>
      </c>
      <c r="H58">
        <v>-12.187499999999991</v>
      </c>
      <c r="I58">
        <v>-2.0562499999999919</v>
      </c>
      <c r="J58">
        <v>-3.9249999999999927</v>
      </c>
      <c r="K58">
        <v>-1.1437499999999985</v>
      </c>
      <c r="L58">
        <v>-5.1124999999999936</v>
      </c>
      <c r="M58" s="8">
        <v>-6.2312499999999948</v>
      </c>
      <c r="S58" s="23" t="s">
        <v>43</v>
      </c>
      <c r="T58" s="12">
        <f>AVERAGE(U3:U54)</f>
        <v>3.5697115384615379</v>
      </c>
      <c r="U58" s="33">
        <f>AVERAGE(Y7:Y54)</f>
        <v>12.778125000000003</v>
      </c>
      <c r="V58" s="37">
        <f>AVERAGE(AC4:AC54)</f>
        <v>13.435294117647064</v>
      </c>
    </row>
    <row r="59" spans="1:30" ht="16" x14ac:dyDescent="0.2">
      <c r="S59" s="23" t="s">
        <v>44</v>
      </c>
      <c r="T59" s="31">
        <f>AVERAGE(V3:V54)</f>
        <v>5.4231920098973589E-2</v>
      </c>
      <c r="U59" s="34">
        <f>AVERAGE(Z7:Z54)</f>
        <v>0.19887948990303916</v>
      </c>
      <c r="V59" s="38">
        <f>AVERAGE(AD4:AD54)</f>
        <v>0.21865856672984851</v>
      </c>
    </row>
    <row r="60" spans="1:30" ht="16" x14ac:dyDescent="0.2"/>
    <row r="61" spans="1:30" ht="16" x14ac:dyDescent="0.2"/>
    <row r="71" spans="1:12" ht="16" x14ac:dyDescent="0.2">
      <c r="A71" t="s">
        <v>45</v>
      </c>
    </row>
    <row r="72" spans="1:12" ht="16" x14ac:dyDescent="0.2">
      <c r="L72" s="5">
        <f>SUM(O51:O54)</f>
        <v>351</v>
      </c>
    </row>
    <row r="73" spans="1:12" ht="16" x14ac:dyDescent="0.2">
      <c r="A73" s="10" t="s">
        <v>46</v>
      </c>
      <c r="B73" s="10"/>
    </row>
    <row r="74" spans="1:12" ht="16" x14ac:dyDescent="0.2">
      <c r="A74" t="s">
        <v>47</v>
      </c>
      <c r="B74">
        <v>0.96012576734742705</v>
      </c>
    </row>
    <row r="75" spans="1:12" ht="16" x14ac:dyDescent="0.2">
      <c r="A75" t="s">
        <v>48</v>
      </c>
      <c r="B75">
        <v>0.9218414891244856</v>
      </c>
    </row>
    <row r="76" spans="1:12" ht="16" x14ac:dyDescent="0.2">
      <c r="A76" t="s">
        <v>49</v>
      </c>
      <c r="B76">
        <v>0.89779271654740422</v>
      </c>
    </row>
    <row r="77" spans="1:12" ht="16" x14ac:dyDescent="0.2">
      <c r="A77" t="s">
        <v>50</v>
      </c>
      <c r="B77">
        <v>5.7317335275437591</v>
      </c>
    </row>
    <row r="78" spans="1:12" ht="16" x14ac:dyDescent="0.2">
      <c r="A78" s="8" t="s">
        <v>51</v>
      </c>
      <c r="B78" s="8">
        <v>52</v>
      </c>
    </row>
    <row r="80" spans="1:12" ht="16" x14ac:dyDescent="0.2">
      <c r="A80" t="s">
        <v>52</v>
      </c>
    </row>
    <row r="81" spans="1:9" ht="16" x14ac:dyDescent="0.2">
      <c r="A81" s="9"/>
      <c r="B81" s="9" t="s">
        <v>53</v>
      </c>
      <c r="C81" s="9" t="s">
        <v>54</v>
      </c>
      <c r="D81" s="9" t="s">
        <v>55</v>
      </c>
      <c r="E81" s="9" t="s">
        <v>56</v>
      </c>
      <c r="F81" s="9" t="s">
        <v>57</v>
      </c>
    </row>
    <row r="82" spans="1:9" ht="16" x14ac:dyDescent="0.2">
      <c r="A82" t="s">
        <v>38</v>
      </c>
      <c r="B82">
        <v>12</v>
      </c>
      <c r="C82">
        <v>15111.812769230763</v>
      </c>
      <c r="D82">
        <v>1259.3177307692301</v>
      </c>
      <c r="E82">
        <v>38.332163779660291</v>
      </c>
      <c r="F82">
        <v>8.3709711801508814E-18</v>
      </c>
    </row>
    <row r="83" spans="1:9" ht="16" x14ac:dyDescent="0.2">
      <c r="A83" t="s">
        <v>58</v>
      </c>
      <c r="B83">
        <v>39</v>
      </c>
      <c r="C83">
        <v>1281.2579999999998</v>
      </c>
      <c r="D83">
        <v>32.852769230769226</v>
      </c>
    </row>
    <row r="84" spans="1:9" ht="16" x14ac:dyDescent="0.2">
      <c r="A84" s="8" t="s">
        <v>59</v>
      </c>
      <c r="B84" s="8">
        <v>51</v>
      </c>
      <c r="C84" s="8">
        <v>16393.070769230762</v>
      </c>
      <c r="D84" s="8"/>
      <c r="E84" s="8"/>
      <c r="F84" s="8"/>
    </row>
    <row r="85" spans="1:9" ht="16" x14ac:dyDescent="0.2"/>
    <row r="86" spans="1:9" ht="16" x14ac:dyDescent="0.2">
      <c r="A86" s="9"/>
      <c r="B86" s="9" t="s">
        <v>60</v>
      </c>
      <c r="C86" s="9" t="s">
        <v>50</v>
      </c>
      <c r="D86" s="9" t="s">
        <v>61</v>
      </c>
      <c r="E86" s="9" t="s">
        <v>62</v>
      </c>
      <c r="F86" s="9" t="s">
        <v>63</v>
      </c>
      <c r="G86" s="9" t="s">
        <v>64</v>
      </c>
      <c r="H86" s="9" t="s">
        <v>65</v>
      </c>
      <c r="I86" s="9" t="s">
        <v>66</v>
      </c>
    </row>
    <row r="87" spans="1:9" ht="16" x14ac:dyDescent="0.2">
      <c r="A87" t="s">
        <v>41</v>
      </c>
      <c r="B87">
        <v>58.98749999999999</v>
      </c>
      <c r="C87">
        <v>3.2832628441606913</v>
      </c>
      <c r="D87">
        <v>17.966121751388172</v>
      </c>
      <c r="E87">
        <v>1.8330618535512995E-20</v>
      </c>
      <c r="F87">
        <v>52.346474057022093</v>
      </c>
      <c r="G87">
        <v>65.628525942977888</v>
      </c>
      <c r="H87">
        <v>52.346474057022093</v>
      </c>
      <c r="I87">
        <v>65.628525942977888</v>
      </c>
    </row>
    <row r="88" spans="1:9" ht="16" x14ac:dyDescent="0.2">
      <c r="A88" t="s">
        <v>5</v>
      </c>
      <c r="B88">
        <v>6.8750000000000006E-2</v>
      </c>
      <c r="C88">
        <v>5.3402274152093795E-2</v>
      </c>
      <c r="D88">
        <v>1.287398356935038</v>
      </c>
      <c r="E88">
        <v>0.20554336896675185</v>
      </c>
      <c r="F88">
        <v>-3.9266295036753857E-2</v>
      </c>
      <c r="G88">
        <v>0.17676629503675387</v>
      </c>
      <c r="H88">
        <v>-3.9266295036753857E-2</v>
      </c>
      <c r="I88">
        <v>0.17676629503675387</v>
      </c>
    </row>
    <row r="89" spans="1:9" ht="16" x14ac:dyDescent="0.2">
      <c r="A89" t="s">
        <v>6</v>
      </c>
      <c r="B89">
        <v>-4.7862499999999901</v>
      </c>
      <c r="C89">
        <v>3.8542238162776061</v>
      </c>
      <c r="D89">
        <v>-1.2418194241305196</v>
      </c>
      <c r="E89">
        <v>0.22171969187518234</v>
      </c>
      <c r="F89">
        <v>-12.582153516974131</v>
      </c>
      <c r="G89">
        <v>3.0096535169741516</v>
      </c>
      <c r="H89">
        <v>-12.582153516974131</v>
      </c>
      <c r="I89">
        <v>3.0096535169741516</v>
      </c>
    </row>
    <row r="90" spans="1:9" ht="16" x14ac:dyDescent="0.2">
      <c r="A90" t="s">
        <v>7</v>
      </c>
      <c r="B90">
        <v>-1.9749999999999981</v>
      </c>
      <c r="C90">
        <v>3.8508927536351867</v>
      </c>
      <c r="D90">
        <v>-0.51286808705218467</v>
      </c>
      <c r="E90">
        <v>0.6109365212796839</v>
      </c>
      <c r="F90">
        <v>-9.764165806813244</v>
      </c>
      <c r="G90">
        <v>5.8141658068132482</v>
      </c>
      <c r="H90">
        <v>-9.764165806813244</v>
      </c>
      <c r="I90">
        <v>5.8141658068132482</v>
      </c>
    </row>
    <row r="91" spans="1:9" ht="16" x14ac:dyDescent="0.2">
      <c r="A91" t="s">
        <v>8</v>
      </c>
      <c r="B91">
        <v>11.39625</v>
      </c>
      <c r="C91">
        <v>3.8482999337119868</v>
      </c>
      <c r="D91">
        <v>2.961372605125252</v>
      </c>
      <c r="E91">
        <v>5.1919265815522061E-3</v>
      </c>
      <c r="F91">
        <v>3.6123286665027008</v>
      </c>
      <c r="G91">
        <v>19.180171333497299</v>
      </c>
      <c r="H91">
        <v>3.6123286665027008</v>
      </c>
      <c r="I91">
        <v>19.180171333497299</v>
      </c>
    </row>
    <row r="92" spans="1:9" ht="16" x14ac:dyDescent="0.2">
      <c r="A92" t="s">
        <v>9</v>
      </c>
      <c r="B92">
        <v>50.207500000000003</v>
      </c>
      <c r="C92">
        <v>3.8464468494163038</v>
      </c>
      <c r="D92">
        <v>13.052955614769242</v>
      </c>
      <c r="E92">
        <v>8.194580252796838E-16</v>
      </c>
      <c r="F92">
        <v>42.427326883281644</v>
      </c>
      <c r="G92">
        <v>57.987673116718362</v>
      </c>
      <c r="H92">
        <v>42.427326883281644</v>
      </c>
      <c r="I92">
        <v>57.987673116718362</v>
      </c>
    </row>
    <row r="93" spans="1:9" ht="16" x14ac:dyDescent="0.2">
      <c r="A93" t="s">
        <v>10</v>
      </c>
      <c r="B93">
        <v>-14.218749999999991</v>
      </c>
      <c r="C93">
        <v>4.070150237611724</v>
      </c>
      <c r="D93">
        <v>-3.4934214144250473</v>
      </c>
      <c r="E93">
        <v>1.2029427029840174E-3</v>
      </c>
      <c r="F93">
        <v>-22.451405928802686</v>
      </c>
      <c r="G93">
        <v>-5.9860940711972974</v>
      </c>
      <c r="H93">
        <v>-22.451405928802686</v>
      </c>
      <c r="I93">
        <v>-5.9860940711972974</v>
      </c>
    </row>
    <row r="94" spans="1:9" ht="16" x14ac:dyDescent="0.2">
      <c r="A94" t="s">
        <v>11</v>
      </c>
      <c r="B94">
        <v>-12.187499999999991</v>
      </c>
      <c r="C94">
        <v>4.0655933784911111</v>
      </c>
      <c r="D94">
        <v>-2.9977173970416131</v>
      </c>
      <c r="E94">
        <v>4.7150974128126492E-3</v>
      </c>
      <c r="F94">
        <v>-20.410938811235535</v>
      </c>
      <c r="G94">
        <v>-3.9640611887644481</v>
      </c>
      <c r="H94">
        <v>-20.410938811235535</v>
      </c>
      <c r="I94">
        <v>-3.9640611887644481</v>
      </c>
    </row>
    <row r="95" spans="1:9" ht="16" x14ac:dyDescent="0.2">
      <c r="A95" t="s">
        <v>12</v>
      </c>
      <c r="B95">
        <v>-2.0562499999999919</v>
      </c>
      <c r="C95">
        <v>4.0617335815511071</v>
      </c>
      <c r="D95">
        <v>-0.50624935356167422</v>
      </c>
      <c r="E95">
        <v>0.61553161515301169</v>
      </c>
      <c r="F95">
        <v>-10.271881635011804</v>
      </c>
      <c r="G95">
        <v>6.1593816350118198</v>
      </c>
      <c r="H95">
        <v>-10.271881635011804</v>
      </c>
      <c r="I95">
        <v>6.1593816350118198</v>
      </c>
    </row>
    <row r="96" spans="1:9" ht="16" x14ac:dyDescent="0.2">
      <c r="A96" t="s">
        <v>13</v>
      </c>
      <c r="B96">
        <v>-3.9249999999999927</v>
      </c>
      <c r="C96">
        <v>4.0585728355591275</v>
      </c>
      <c r="D96">
        <v>-0.96708871788899819</v>
      </c>
      <c r="E96">
        <v>0.33945891140242446</v>
      </c>
      <c r="F96">
        <v>-12.134238422793285</v>
      </c>
      <c r="G96">
        <v>4.2842384227932993</v>
      </c>
      <c r="H96">
        <v>-12.134238422793285</v>
      </c>
      <c r="I96">
        <v>4.2842384227932993</v>
      </c>
    </row>
    <row r="97" spans="1:9" ht="16" x14ac:dyDescent="0.2">
      <c r="A97" t="s">
        <v>14</v>
      </c>
      <c r="B97">
        <v>-1.1437499999999985</v>
      </c>
      <c r="C97">
        <v>4.0561127747322496</v>
      </c>
      <c r="D97">
        <v>-0.28198180462955674</v>
      </c>
      <c r="E97">
        <v>0.77944845533779272</v>
      </c>
      <c r="F97">
        <v>-9.3480124800960258</v>
      </c>
      <c r="G97">
        <v>7.0605124800960288</v>
      </c>
      <c r="H97">
        <v>-9.3480124800960258</v>
      </c>
      <c r="I97">
        <v>7.0605124800960288</v>
      </c>
    </row>
    <row r="98" spans="1:9" ht="16" x14ac:dyDescent="0.2">
      <c r="A98" t="s">
        <v>15</v>
      </c>
      <c r="B98">
        <v>-5.1124999999999936</v>
      </c>
      <c r="C98">
        <v>4.0543546745349088</v>
      </c>
      <c r="D98">
        <v>-1.2609898270891826</v>
      </c>
      <c r="E98">
        <v>0.2148039741414213</v>
      </c>
      <c r="F98">
        <v>-13.313206386790345</v>
      </c>
      <c r="G98">
        <v>3.088206386790358</v>
      </c>
      <c r="H98">
        <v>-13.313206386790345</v>
      </c>
      <c r="I98">
        <v>3.088206386790358</v>
      </c>
    </row>
    <row r="99" spans="1:9" ht="16" x14ac:dyDescent="0.2">
      <c r="A99" s="8" t="s">
        <v>16</v>
      </c>
      <c r="B99" s="8">
        <v>-6.2312499999999948</v>
      </c>
      <c r="C99" s="8">
        <v>4.0532994483838998</v>
      </c>
      <c r="D99" s="8">
        <v>-1.5373278188179436</v>
      </c>
      <c r="E99" s="8">
        <v>0.13228754278258281</v>
      </c>
      <c r="F99" s="8">
        <v>-14.429821990436116</v>
      </c>
      <c r="G99" s="8">
        <v>1.9673219904361254</v>
      </c>
      <c r="H99" s="8">
        <v>-14.429821990436116</v>
      </c>
      <c r="I99" s="8">
        <v>1.9673219904361254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3"/>
  <sheetViews>
    <sheetView topLeftCell="B1" zoomScale="85" workbookViewId="0">
      <selection activeCell="V53" sqref="V53"/>
    </sheetView>
  </sheetViews>
  <sheetFormatPr baseColWidth="10" defaultColWidth="8.83203125" defaultRowHeight="15.75" customHeight="1" x14ac:dyDescent="0.2"/>
  <cols>
    <col min="5" max="5" width="9" bestFit="1" customWidth="1"/>
    <col min="8" max="8" width="10.5" customWidth="1"/>
    <col min="10" max="10" width="10.5" customWidth="1"/>
    <col min="11" max="11" width="9.5" customWidth="1"/>
    <col min="13" max="13" width="9.83203125" customWidth="1"/>
    <col min="16" max="16" width="9.1640625" customWidth="1"/>
  </cols>
  <sheetData>
    <row r="1" spans="1:36" s="23" customFormat="1" ht="34" x14ac:dyDescent="0.2">
      <c r="A1" s="1" t="s">
        <v>3</v>
      </c>
      <c r="B1" s="2" t="s">
        <v>4</v>
      </c>
      <c r="C1" s="20" t="s">
        <v>5</v>
      </c>
      <c r="D1" s="21" t="s">
        <v>6</v>
      </c>
      <c r="E1" s="22" t="s">
        <v>7</v>
      </c>
      <c r="F1" s="22" t="s">
        <v>8</v>
      </c>
      <c r="G1" s="22" t="s">
        <v>9</v>
      </c>
      <c r="H1" s="22" t="s">
        <v>10</v>
      </c>
      <c r="I1" s="21" t="s">
        <v>11</v>
      </c>
      <c r="J1" s="22" t="s">
        <v>12</v>
      </c>
      <c r="K1" s="22" t="s">
        <v>13</v>
      </c>
      <c r="L1" s="22" t="s">
        <v>14</v>
      </c>
      <c r="M1" s="22" t="s">
        <v>15</v>
      </c>
      <c r="N1" s="22" t="s">
        <v>16</v>
      </c>
      <c r="O1" s="2" t="s">
        <v>17</v>
      </c>
      <c r="P1" s="22" t="s">
        <v>67</v>
      </c>
      <c r="S1" s="12" t="s">
        <v>21</v>
      </c>
      <c r="T1" s="32" t="s">
        <v>22</v>
      </c>
      <c r="U1" s="32" t="s">
        <v>23</v>
      </c>
      <c r="V1" s="32" t="s">
        <v>24</v>
      </c>
      <c r="X1" s="23" t="s">
        <v>41</v>
      </c>
      <c r="Y1" s="23" t="s">
        <v>5</v>
      </c>
      <c r="Z1" s="23" t="s">
        <v>6</v>
      </c>
      <c r="AA1" s="23" t="s">
        <v>7</v>
      </c>
      <c r="AB1" s="23" t="s">
        <v>8</v>
      </c>
      <c r="AC1" s="23" t="s">
        <v>9</v>
      </c>
      <c r="AD1" s="23" t="s">
        <v>10</v>
      </c>
      <c r="AE1" s="23" t="s">
        <v>11</v>
      </c>
      <c r="AF1" s="23" t="s">
        <v>12</v>
      </c>
      <c r="AG1" s="23" t="s">
        <v>13</v>
      </c>
      <c r="AH1" s="23" t="s">
        <v>14</v>
      </c>
      <c r="AI1" s="23" t="s">
        <v>15</v>
      </c>
      <c r="AJ1" s="24" t="s">
        <v>16</v>
      </c>
    </row>
    <row r="2" spans="1:36" ht="16" x14ac:dyDescent="0.2">
      <c r="A2" s="3">
        <v>1</v>
      </c>
      <c r="B2" t="s">
        <v>26</v>
      </c>
      <c r="C2">
        <v>1</v>
      </c>
      <c r="D2">
        <f t="shared" ref="D2:D49" si="0">IF(B2="May", 1,0)</f>
        <v>1</v>
      </c>
      <c r="E2">
        <f t="shared" ref="E2:E49" si="1">IF(B2="June",1,0)</f>
        <v>0</v>
      </c>
      <c r="F2">
        <f t="shared" ref="F2:F49" si="2">IF(B2="July",1,0)</f>
        <v>0</v>
      </c>
      <c r="G2">
        <f t="shared" ref="G2:G49" si="3">IF(B2="August",1,0)</f>
        <v>0</v>
      </c>
      <c r="H2">
        <f t="shared" ref="H2:H49" si="4">IF(B2="September",1,0)</f>
        <v>0</v>
      </c>
      <c r="I2">
        <f t="shared" ref="I2:I49" si="5">IF(B2="October",1,0)</f>
        <v>0</v>
      </c>
      <c r="J2">
        <f t="shared" ref="J2:J49" si="6">IF(B2="November",1,0)</f>
        <v>0</v>
      </c>
      <c r="K2">
        <f t="shared" ref="K2:K49" si="7">IF(B2="December",1,0)</f>
        <v>0</v>
      </c>
      <c r="L2">
        <f t="shared" ref="L2:L49" si="8">IF(B2="January",1,0)</f>
        <v>0</v>
      </c>
      <c r="M2">
        <f t="shared" ref="M2:M49" si="9">IF(B2="February",1,0)</f>
        <v>0</v>
      </c>
      <c r="N2">
        <f t="shared" ref="N2:N49" si="10">IF(B2="March",1,0)</f>
        <v>0</v>
      </c>
      <c r="O2" s="4">
        <v>1.7115389999999997</v>
      </c>
      <c r="P2" s="4">
        <f>$X$2+$Y$2*C2+$Z$2*D2+$AA$2*E2+$AB$2*F2+$AC$2*G2+$AD$2*H2+$AE$2*I2+$AF$2*J2+$AG$2*K2+$AH$2*L2+$AI$2*M2+$AJ$2*N2</f>
        <v>1.6872118389897592</v>
      </c>
      <c r="S2" s="13">
        <f t="shared" ref="S2:S33" si="11">O2-P2</f>
        <v>2.4327161010240461E-2</v>
      </c>
      <c r="T2" s="13">
        <f t="shared" ref="T2:T33" si="12">S2^2</f>
        <v>5.9181076281816368E-4</v>
      </c>
      <c r="U2">
        <f t="shared" ref="U2:U33" si="13">ABS(S2)</f>
        <v>2.4327161010240461E-2</v>
      </c>
      <c r="V2" s="13">
        <f t="shared" ref="V2:V49" si="14">U2/O2</f>
        <v>1.4213617691586616E-2</v>
      </c>
      <c r="X2" s="13">
        <v>1.9985054621100222</v>
      </c>
      <c r="Y2" s="13">
        <v>1.3593971371326766E-2</v>
      </c>
      <c r="Z2" s="13">
        <v>-0.32488759449158988</v>
      </c>
      <c r="AA2" s="13">
        <v>-1.2149787036706711E-2</v>
      </c>
      <c r="AB2" s="13">
        <v>0.54547425815432127</v>
      </c>
      <c r="AC2" s="13">
        <v>1.9743984359830991</v>
      </c>
      <c r="AD2" s="13">
        <v>-0.10382264182180904</v>
      </c>
      <c r="AE2" s="13">
        <v>-0.28905435029269294</v>
      </c>
      <c r="AF2" s="13">
        <v>7.1900647278846262E-3</v>
      </c>
      <c r="AG2" s="13">
        <v>-7.8127197182997366E-3</v>
      </c>
      <c r="AH2" s="13">
        <v>0.20062250697709585</v>
      </c>
      <c r="AI2" s="13">
        <v>-3.6376144865076364E-2</v>
      </c>
      <c r="AJ2" s="14">
        <v>-5.3937948208444608E-2</v>
      </c>
    </row>
    <row r="3" spans="1:36" ht="16" x14ac:dyDescent="0.2">
      <c r="A3" s="3"/>
      <c r="B3" t="s">
        <v>27</v>
      </c>
      <c r="C3">
        <v>2</v>
      </c>
      <c r="D3">
        <f t="shared" si="0"/>
        <v>0</v>
      </c>
      <c r="E3">
        <f t="shared" si="1"/>
        <v>1</v>
      </c>
      <c r="F3">
        <f t="shared" si="2"/>
        <v>0</v>
      </c>
      <c r="G3">
        <f t="shared" si="3"/>
        <v>0</v>
      </c>
      <c r="H3">
        <f t="shared" si="4"/>
        <v>0</v>
      </c>
      <c r="I3">
        <f t="shared" si="5"/>
        <v>0</v>
      </c>
      <c r="J3">
        <f t="shared" si="6"/>
        <v>0</v>
      </c>
      <c r="K3">
        <f t="shared" si="7"/>
        <v>0</v>
      </c>
      <c r="L3">
        <f t="shared" si="8"/>
        <v>0</v>
      </c>
      <c r="M3">
        <f t="shared" si="9"/>
        <v>0</v>
      </c>
      <c r="N3">
        <f t="shared" si="10"/>
        <v>0</v>
      </c>
      <c r="O3" s="4">
        <v>1.9034215389999996</v>
      </c>
      <c r="P3" s="4">
        <f t="shared" ref="P3:P53" si="15">$X$2+$Y$2*C3+$Z$2*D3+$AA$2*E3+$AB$2*F3+$AC$2*G3+$AD$2*H3+$AE$2*I3+$AF$2*J3+$AG$2*K3+$AH$2*L3+$AI$2*M3+$AJ$2*N3</f>
        <v>2.0135436178159689</v>
      </c>
      <c r="S3" s="13">
        <f t="shared" si="11"/>
        <v>-0.11012207881596936</v>
      </c>
      <c r="T3" s="13">
        <f t="shared" si="12"/>
        <v>1.2126872242750568E-2</v>
      </c>
      <c r="U3">
        <f t="shared" si="13"/>
        <v>0.11012207881596936</v>
      </c>
      <c r="V3" s="13">
        <f t="shared" si="14"/>
        <v>5.785480334210371E-2</v>
      </c>
    </row>
    <row r="4" spans="1:36" ht="16" x14ac:dyDescent="0.2">
      <c r="A4" s="3"/>
      <c r="B4" t="s">
        <v>28</v>
      </c>
      <c r="C4">
        <v>3</v>
      </c>
      <c r="D4">
        <f t="shared" si="0"/>
        <v>0</v>
      </c>
      <c r="E4">
        <f t="shared" si="1"/>
        <v>0</v>
      </c>
      <c r="F4">
        <f t="shared" si="2"/>
        <v>1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si="7"/>
        <v>0</v>
      </c>
      <c r="L4">
        <f t="shared" si="8"/>
        <v>0</v>
      </c>
      <c r="M4">
        <f t="shared" si="9"/>
        <v>0</v>
      </c>
      <c r="N4">
        <f t="shared" si="10"/>
        <v>0</v>
      </c>
      <c r="O4" s="4">
        <v>2.7474046601974589</v>
      </c>
      <c r="P4" s="4">
        <f t="shared" si="15"/>
        <v>2.5847616343783235</v>
      </c>
      <c r="S4" s="13">
        <f t="shared" si="11"/>
        <v>0.16264302581913537</v>
      </c>
      <c r="T4" s="13">
        <f t="shared" si="12"/>
        <v>2.6452753847603934E-2</v>
      </c>
      <c r="U4">
        <f t="shared" si="13"/>
        <v>0.16264302581913537</v>
      </c>
      <c r="V4" s="13">
        <f t="shared" si="14"/>
        <v>5.9198787923525634E-2</v>
      </c>
    </row>
    <row r="5" spans="1:36" ht="16" x14ac:dyDescent="0.2">
      <c r="A5" s="3"/>
      <c r="B5" t="s">
        <v>29</v>
      </c>
      <c r="C5">
        <v>4</v>
      </c>
      <c r="D5">
        <f t="shared" si="0"/>
        <v>0</v>
      </c>
      <c r="E5">
        <f t="shared" si="1"/>
        <v>0</v>
      </c>
      <c r="F5">
        <f t="shared" si="2"/>
        <v>0</v>
      </c>
      <c r="G5">
        <f t="shared" si="3"/>
        <v>1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0</v>
      </c>
      <c r="O5" s="4">
        <v>4.2151404242499542</v>
      </c>
      <c r="P5" s="4">
        <f t="shared" si="15"/>
        <v>4.027279783578428</v>
      </c>
      <c r="S5" s="13">
        <f t="shared" si="11"/>
        <v>0.18786064067152619</v>
      </c>
      <c r="T5" s="13">
        <f t="shared" si="12"/>
        <v>3.5291620313516278E-2</v>
      </c>
      <c r="U5">
        <f t="shared" si="13"/>
        <v>0.18786064067152619</v>
      </c>
      <c r="V5" s="13">
        <f t="shared" si="14"/>
        <v>4.4568062214666145E-2</v>
      </c>
    </row>
    <row r="6" spans="1:36" ht="16" x14ac:dyDescent="0.2">
      <c r="B6" t="s">
        <v>30</v>
      </c>
      <c r="C6">
        <v>5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0</v>
      </c>
      <c r="H6">
        <f t="shared" si="4"/>
        <v>1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0</v>
      </c>
      <c r="O6" s="4">
        <v>1.4565367555752566</v>
      </c>
      <c r="P6" s="4">
        <f t="shared" si="15"/>
        <v>1.9626526771448471</v>
      </c>
      <c r="S6" s="13">
        <f t="shared" si="11"/>
        <v>-0.50611592156959051</v>
      </c>
      <c r="T6" s="13">
        <f t="shared" si="12"/>
        <v>0.25615332606623592</v>
      </c>
      <c r="U6">
        <f t="shared" si="13"/>
        <v>0.50611592156959051</v>
      </c>
      <c r="V6" s="13">
        <f t="shared" si="14"/>
        <v>0.34747899057974746</v>
      </c>
    </row>
    <row r="7" spans="1:36" ht="16" x14ac:dyDescent="0.2">
      <c r="A7" s="3"/>
      <c r="B7" t="s">
        <v>31</v>
      </c>
      <c r="C7">
        <v>6</v>
      </c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0</v>
      </c>
      <c r="H7">
        <f t="shared" si="4"/>
        <v>0</v>
      </c>
      <c r="I7">
        <f t="shared" si="5"/>
        <v>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0</v>
      </c>
      <c r="O7" s="4">
        <v>1.80974189626172</v>
      </c>
      <c r="P7" s="4">
        <f t="shared" si="15"/>
        <v>1.7910149400452899</v>
      </c>
      <c r="S7" s="13">
        <f t="shared" si="11"/>
        <v>1.8726956216430057E-2</v>
      </c>
      <c r="T7" s="13">
        <f t="shared" si="12"/>
        <v>3.5069888913208836E-4</v>
      </c>
      <c r="U7">
        <f t="shared" si="13"/>
        <v>1.8726956216430057E-2</v>
      </c>
      <c r="V7" s="13">
        <f t="shared" si="14"/>
        <v>1.0347860241901487E-2</v>
      </c>
    </row>
    <row r="8" spans="1:36" ht="16" x14ac:dyDescent="0.2">
      <c r="A8" s="3"/>
      <c r="B8" t="s">
        <v>32</v>
      </c>
      <c r="C8">
        <v>7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0</v>
      </c>
      <c r="H8">
        <f t="shared" si="4"/>
        <v>0</v>
      </c>
      <c r="I8">
        <f t="shared" si="5"/>
        <v>0</v>
      </c>
      <c r="J8">
        <f t="shared" si="6"/>
        <v>1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0</v>
      </c>
      <c r="O8" s="4">
        <v>2.042823582142089</v>
      </c>
      <c r="P8" s="4">
        <f t="shared" si="15"/>
        <v>2.100853326437194</v>
      </c>
      <c r="S8" s="13">
        <f t="shared" si="11"/>
        <v>-5.802974429510499E-2</v>
      </c>
      <c r="T8" s="13">
        <f t="shared" si="12"/>
        <v>3.3674512229552702E-3</v>
      </c>
      <c r="U8">
        <f t="shared" si="13"/>
        <v>5.802974429510499E-2</v>
      </c>
      <c r="V8" s="13">
        <f t="shared" si="14"/>
        <v>2.840663520941708E-2</v>
      </c>
    </row>
    <row r="9" spans="1:36" ht="16" x14ac:dyDescent="0.2">
      <c r="A9" s="3"/>
      <c r="B9" t="s">
        <v>33</v>
      </c>
      <c r="C9">
        <v>8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0</v>
      </c>
      <c r="K9">
        <f t="shared" si="7"/>
        <v>1</v>
      </c>
      <c r="L9">
        <f t="shared" si="8"/>
        <v>0</v>
      </c>
      <c r="M9">
        <f t="shared" si="9"/>
        <v>0</v>
      </c>
      <c r="N9">
        <f t="shared" si="10"/>
        <v>0</v>
      </c>
      <c r="O9" s="4">
        <v>2.0043732145312187</v>
      </c>
      <c r="P9" s="4">
        <f t="shared" si="15"/>
        <v>2.0994445133623367</v>
      </c>
      <c r="S9" s="13">
        <f t="shared" si="11"/>
        <v>-9.5071298831117979E-2</v>
      </c>
      <c r="T9" s="13">
        <f t="shared" si="12"/>
        <v>9.0385518614357341E-3</v>
      </c>
      <c r="U9">
        <f t="shared" si="13"/>
        <v>9.5071298831117979E-2</v>
      </c>
      <c r="V9" s="13">
        <f t="shared" si="14"/>
        <v>4.743193440317111E-2</v>
      </c>
    </row>
    <row r="10" spans="1:36" ht="16" x14ac:dyDescent="0.2">
      <c r="A10" s="3">
        <v>2</v>
      </c>
      <c r="B10" t="s">
        <v>34</v>
      </c>
      <c r="C10">
        <v>9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0</v>
      </c>
      <c r="L10">
        <f t="shared" si="8"/>
        <v>1</v>
      </c>
      <c r="M10">
        <f t="shared" si="9"/>
        <v>0</v>
      </c>
      <c r="N10">
        <f t="shared" si="10"/>
        <v>0</v>
      </c>
      <c r="O10" s="4">
        <v>2.3388597934594815</v>
      </c>
      <c r="P10" s="4">
        <f t="shared" si="15"/>
        <v>2.3214737114290589</v>
      </c>
      <c r="S10" s="13">
        <f t="shared" si="11"/>
        <v>1.7386082030422578E-2</v>
      </c>
      <c r="T10" s="13">
        <f t="shared" si="12"/>
        <v>3.0227584836858286E-4</v>
      </c>
      <c r="U10">
        <f t="shared" si="13"/>
        <v>1.7386082030422578E-2</v>
      </c>
      <c r="V10" s="13">
        <f t="shared" si="14"/>
        <v>7.433571725437323E-3</v>
      </c>
    </row>
    <row r="11" spans="1:36" ht="16" x14ac:dyDescent="0.2">
      <c r="A11" s="3"/>
      <c r="B11" t="s">
        <v>35</v>
      </c>
      <c r="C11">
        <v>10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1</v>
      </c>
      <c r="N11">
        <f t="shared" si="10"/>
        <v>0</v>
      </c>
      <c r="O11" s="4">
        <v>2.2198803827594431</v>
      </c>
      <c r="P11" s="4">
        <f t="shared" si="15"/>
        <v>2.0980690309582135</v>
      </c>
      <c r="S11" s="13">
        <f t="shared" si="11"/>
        <v>0.12181135180122959</v>
      </c>
      <c r="T11" s="13">
        <f t="shared" si="12"/>
        <v>1.4838005427642921E-2</v>
      </c>
      <c r="U11">
        <f t="shared" si="13"/>
        <v>0.12181135180122959</v>
      </c>
      <c r="V11" s="13">
        <f t="shared" si="14"/>
        <v>5.4872934932561929E-2</v>
      </c>
    </row>
    <row r="12" spans="1:36" ht="16" x14ac:dyDescent="0.2">
      <c r="A12" s="3"/>
      <c r="B12" t="s">
        <v>36</v>
      </c>
      <c r="C12">
        <v>11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1</v>
      </c>
      <c r="O12" s="4">
        <v>2.1511821481688012</v>
      </c>
      <c r="P12" s="4">
        <f t="shared" si="15"/>
        <v>2.0941011989861722</v>
      </c>
      <c r="S12" s="13">
        <f t="shared" si="11"/>
        <v>5.7080949182628959E-2</v>
      </c>
      <c r="T12" s="13">
        <f t="shared" si="12"/>
        <v>3.2582347595898698E-3</v>
      </c>
      <c r="U12">
        <f t="shared" si="13"/>
        <v>5.7080949182628959E-2</v>
      </c>
      <c r="V12" s="13">
        <f t="shared" si="14"/>
        <v>2.6534688952871449E-2</v>
      </c>
    </row>
    <row r="13" spans="1:36" ht="16" x14ac:dyDescent="0.2">
      <c r="A13" s="3"/>
      <c r="B13" t="s">
        <v>37</v>
      </c>
      <c r="C13">
        <v>12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0</v>
      </c>
      <c r="O13" s="4">
        <v>2.4563742983137242</v>
      </c>
      <c r="P13" s="4">
        <f t="shared" si="15"/>
        <v>2.1616331185659434</v>
      </c>
      <c r="S13" s="13">
        <f t="shared" si="11"/>
        <v>0.2947411797477808</v>
      </c>
      <c r="T13" s="13">
        <f t="shared" si="12"/>
        <v>8.6872363039113637E-2</v>
      </c>
      <c r="U13">
        <f t="shared" si="13"/>
        <v>0.2947411797477808</v>
      </c>
      <c r="V13" s="13">
        <f t="shared" si="14"/>
        <v>0.11999033695724531</v>
      </c>
    </row>
    <row r="14" spans="1:36" ht="16" x14ac:dyDescent="0.2">
      <c r="A14" s="3"/>
      <c r="B14" t="s">
        <v>26</v>
      </c>
      <c r="C14">
        <v>13</v>
      </c>
      <c r="D14">
        <f t="shared" si="0"/>
        <v>1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  <c r="I14">
        <f t="shared" si="5"/>
        <v>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0</v>
      </c>
      <c r="O14" s="4">
        <v>1.9223504390313546</v>
      </c>
      <c r="P14" s="4">
        <f t="shared" si="15"/>
        <v>1.8503394954456802</v>
      </c>
      <c r="S14" s="13">
        <f t="shared" si="11"/>
        <v>7.2010943585674392E-2</v>
      </c>
      <c r="T14" s="13">
        <f t="shared" si="12"/>
        <v>5.1855759960991801E-3</v>
      </c>
      <c r="U14">
        <f t="shared" si="13"/>
        <v>7.2010943585674392E-2</v>
      </c>
      <c r="V14" s="13">
        <f t="shared" si="14"/>
        <v>3.7459841932857826E-2</v>
      </c>
    </row>
    <row r="15" spans="1:36" ht="16" x14ac:dyDescent="0.2">
      <c r="A15" s="3"/>
      <c r="B15" t="s">
        <v>27</v>
      </c>
      <c r="C15">
        <v>14</v>
      </c>
      <c r="D15">
        <f t="shared" si="0"/>
        <v>0</v>
      </c>
      <c r="E15">
        <f t="shared" si="1"/>
        <v>1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0</v>
      </c>
      <c r="O15" s="4">
        <v>2.1569955689096885</v>
      </c>
      <c r="P15" s="4">
        <f t="shared" si="15"/>
        <v>2.1766712742718899</v>
      </c>
      <c r="S15" s="13">
        <f t="shared" si="11"/>
        <v>-1.9675705362201423E-2</v>
      </c>
      <c r="T15" s="13">
        <f t="shared" si="12"/>
        <v>3.8713338150016182E-4</v>
      </c>
      <c r="U15">
        <f t="shared" si="13"/>
        <v>1.9675705362201423E-2</v>
      </c>
      <c r="V15" s="13">
        <f t="shared" si="14"/>
        <v>9.1218107472270053E-3</v>
      </c>
    </row>
    <row r="16" spans="1:36" ht="16" x14ac:dyDescent="0.2">
      <c r="A16" s="3"/>
      <c r="B16" t="s">
        <v>28</v>
      </c>
      <c r="C16">
        <v>15</v>
      </c>
      <c r="D16">
        <f t="shared" si="0"/>
        <v>0</v>
      </c>
      <c r="E16">
        <f t="shared" si="1"/>
        <v>0</v>
      </c>
      <c r="F16">
        <f t="shared" si="2"/>
        <v>1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0</v>
      </c>
      <c r="O16" s="4">
        <v>2.5947785794364173</v>
      </c>
      <c r="P16" s="4">
        <f t="shared" si="15"/>
        <v>2.7478892908342454</v>
      </c>
      <c r="S16" s="13">
        <f t="shared" si="11"/>
        <v>-0.15311071139782806</v>
      </c>
      <c r="T16" s="13">
        <f t="shared" si="12"/>
        <v>2.3442889944748996E-2</v>
      </c>
      <c r="U16">
        <f t="shared" si="13"/>
        <v>0.15311071139782806</v>
      </c>
      <c r="V16" s="13">
        <f t="shared" si="14"/>
        <v>5.9007235766176051E-2</v>
      </c>
    </row>
    <row r="17" spans="1:22" ht="16" x14ac:dyDescent="0.2">
      <c r="A17" s="3"/>
      <c r="B17" t="s">
        <v>29</v>
      </c>
      <c r="C17">
        <v>16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1</v>
      </c>
      <c r="H17">
        <f t="shared" si="4"/>
        <v>0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0</v>
      </c>
      <c r="O17" s="4">
        <v>4.2203100552566033</v>
      </c>
      <c r="P17" s="4">
        <f t="shared" si="15"/>
        <v>4.1904074400343498</v>
      </c>
      <c r="S17" s="13">
        <f t="shared" si="11"/>
        <v>2.9902615222253459E-2</v>
      </c>
      <c r="T17" s="13">
        <f t="shared" si="12"/>
        <v>8.9416639713014426E-4</v>
      </c>
      <c r="U17">
        <f t="shared" si="13"/>
        <v>2.9902615222253459E-2</v>
      </c>
      <c r="V17" s="13">
        <f t="shared" si="14"/>
        <v>7.0854071930113961E-3</v>
      </c>
    </row>
    <row r="18" spans="1:22" ht="16" x14ac:dyDescent="0.2">
      <c r="B18" t="s">
        <v>30</v>
      </c>
      <c r="C18">
        <v>17</v>
      </c>
      <c r="D18">
        <f t="shared" si="0"/>
        <v>0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4"/>
        <v>1</v>
      </c>
      <c r="I18">
        <f t="shared" si="5"/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0</v>
      </c>
      <c r="O18" s="4">
        <v>2.3455986183287578</v>
      </c>
      <c r="P18" s="4">
        <f t="shared" si="15"/>
        <v>2.1257803336007681</v>
      </c>
      <c r="S18" s="13">
        <f t="shared" si="11"/>
        <v>0.2198182847279897</v>
      </c>
      <c r="T18" s="13">
        <f t="shared" si="12"/>
        <v>4.8320078300755548E-2</v>
      </c>
      <c r="U18">
        <f t="shared" si="13"/>
        <v>0.2198182847279897</v>
      </c>
      <c r="V18" s="13">
        <f t="shared" si="14"/>
        <v>9.3715217518592561E-2</v>
      </c>
    </row>
    <row r="19" spans="1:22" ht="16" x14ac:dyDescent="0.2">
      <c r="A19" s="3"/>
      <c r="B19" t="s">
        <v>31</v>
      </c>
      <c r="C19">
        <v>18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0</v>
      </c>
      <c r="I19">
        <f t="shared" si="5"/>
        <v>1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0</v>
      </c>
      <c r="O19" s="4">
        <v>1.9208533557970251</v>
      </c>
      <c r="P19" s="4">
        <f t="shared" si="15"/>
        <v>1.9541425965012109</v>
      </c>
      <c r="S19" s="13">
        <f t="shared" si="11"/>
        <v>-3.3289240704185818E-2</v>
      </c>
      <c r="T19" s="13">
        <f t="shared" si="12"/>
        <v>1.108173546661222E-3</v>
      </c>
      <c r="U19">
        <f t="shared" si="13"/>
        <v>3.3289240704185818E-2</v>
      </c>
      <c r="V19" s="13">
        <f t="shared" si="14"/>
        <v>1.7330443577965388E-2</v>
      </c>
    </row>
    <row r="20" spans="1:22" ht="16" x14ac:dyDescent="0.2">
      <c r="A20" s="3"/>
      <c r="B20" t="s">
        <v>32</v>
      </c>
      <c r="C20">
        <v>19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1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0</v>
      </c>
      <c r="O20" s="4">
        <v>2.054823222280862</v>
      </c>
      <c r="P20" s="4">
        <f t="shared" si="15"/>
        <v>2.263980982893115</v>
      </c>
      <c r="S20" s="13">
        <f t="shared" si="11"/>
        <v>-0.209157760612253</v>
      </c>
      <c r="T20" s="13">
        <f t="shared" si="12"/>
        <v>4.374696882433253E-2</v>
      </c>
      <c r="U20">
        <f t="shared" si="13"/>
        <v>0.209157760612253</v>
      </c>
      <c r="V20" s="13">
        <f t="shared" si="14"/>
        <v>0.1017886883622461</v>
      </c>
    </row>
    <row r="21" spans="1:22" ht="16" x14ac:dyDescent="0.2">
      <c r="A21" s="3"/>
      <c r="B21" t="s">
        <v>33</v>
      </c>
      <c r="C21">
        <v>20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7"/>
        <v>1</v>
      </c>
      <c r="L21">
        <f t="shared" si="8"/>
        <v>0</v>
      </c>
      <c r="M21">
        <f t="shared" si="9"/>
        <v>0</v>
      </c>
      <c r="N21">
        <f t="shared" si="10"/>
        <v>0</v>
      </c>
      <c r="O21" s="4">
        <v>2.2704850573729898</v>
      </c>
      <c r="P21" s="4">
        <f t="shared" si="15"/>
        <v>2.2625721698182581</v>
      </c>
      <c r="S21" s="13">
        <f t="shared" si="11"/>
        <v>7.9128875547316291E-3</v>
      </c>
      <c r="T21" s="13">
        <f t="shared" si="12"/>
        <v>6.2613789453826697E-5</v>
      </c>
      <c r="U21">
        <f t="shared" si="13"/>
        <v>7.9128875547316291E-3</v>
      </c>
      <c r="V21" s="13">
        <f t="shared" si="14"/>
        <v>3.4851088444893996E-3</v>
      </c>
    </row>
    <row r="22" spans="1:22" ht="16" x14ac:dyDescent="0.2">
      <c r="A22" s="3">
        <v>3</v>
      </c>
      <c r="B22" t="s">
        <v>34</v>
      </c>
      <c r="C22">
        <v>21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0</v>
      </c>
      <c r="L22">
        <f t="shared" si="8"/>
        <v>1</v>
      </c>
      <c r="M22">
        <f t="shared" si="9"/>
        <v>0</v>
      </c>
      <c r="N22">
        <f t="shared" si="10"/>
        <v>0</v>
      </c>
      <c r="O22" s="4">
        <v>2.4355798656860337</v>
      </c>
      <c r="P22" s="4">
        <f t="shared" si="15"/>
        <v>2.4846013678849803</v>
      </c>
      <c r="S22" s="13">
        <f t="shared" si="11"/>
        <v>-4.9021502198946632E-2</v>
      </c>
      <c r="T22" s="13">
        <f t="shared" si="12"/>
        <v>2.4031076778413293E-3</v>
      </c>
      <c r="U22">
        <f t="shared" si="13"/>
        <v>4.9021502198946632E-2</v>
      </c>
      <c r="V22" s="13">
        <f t="shared" si="14"/>
        <v>2.012724069926513E-2</v>
      </c>
    </row>
    <row r="23" spans="1:22" ht="16" x14ac:dyDescent="0.2">
      <c r="A23" s="3"/>
      <c r="B23" t="s">
        <v>35</v>
      </c>
      <c r="C23">
        <v>22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1</v>
      </c>
      <c r="N23">
        <f t="shared" si="10"/>
        <v>0</v>
      </c>
      <c r="O23" s="4">
        <v>2.1827748281964112</v>
      </c>
      <c r="P23" s="4">
        <f t="shared" si="15"/>
        <v>2.2611966874141345</v>
      </c>
      <c r="S23" s="13">
        <f t="shared" si="11"/>
        <v>-7.8421859217723267E-2</v>
      </c>
      <c r="T23" s="13">
        <f t="shared" si="12"/>
        <v>6.1499880031644074E-3</v>
      </c>
      <c r="U23">
        <f t="shared" si="13"/>
        <v>7.8421859217723267E-2</v>
      </c>
      <c r="V23" s="13">
        <f t="shared" si="14"/>
        <v>3.5927599221272803E-2</v>
      </c>
    </row>
    <row r="24" spans="1:22" ht="16" x14ac:dyDescent="0.2">
      <c r="A24" s="3"/>
      <c r="B24" t="s">
        <v>36</v>
      </c>
      <c r="C24">
        <v>23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1</v>
      </c>
      <c r="O24" s="4">
        <v>2.3174571350373165</v>
      </c>
      <c r="P24" s="4">
        <f t="shared" si="15"/>
        <v>2.2572288554420932</v>
      </c>
      <c r="S24" s="13">
        <f t="shared" si="11"/>
        <v>6.0228279595223366E-2</v>
      </c>
      <c r="T24" s="13">
        <f t="shared" si="12"/>
        <v>3.6274456630003993E-3</v>
      </c>
      <c r="U24">
        <f t="shared" si="13"/>
        <v>6.0228279595223366E-2</v>
      </c>
      <c r="V24" s="13">
        <f t="shared" si="14"/>
        <v>2.5988950856799149E-2</v>
      </c>
    </row>
    <row r="25" spans="1:22" ht="16" x14ac:dyDescent="0.2">
      <c r="A25" s="3"/>
      <c r="B25" t="s">
        <v>37</v>
      </c>
      <c r="C25">
        <v>24</v>
      </c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0</v>
      </c>
      <c r="O25" s="4">
        <v>2.2582333439092768</v>
      </c>
      <c r="P25" s="4">
        <f t="shared" si="15"/>
        <v>2.3247607750218648</v>
      </c>
      <c r="S25" s="13">
        <f t="shared" si="11"/>
        <v>-6.6527431112588076E-2</v>
      </c>
      <c r="T25" s="13">
        <f t="shared" si="12"/>
        <v>4.4258990904401515E-3</v>
      </c>
      <c r="U25">
        <f t="shared" si="13"/>
        <v>6.6527431112588076E-2</v>
      </c>
      <c r="V25" s="13">
        <f t="shared" si="14"/>
        <v>2.9459945444530986E-2</v>
      </c>
    </row>
    <row r="26" spans="1:22" ht="16" x14ac:dyDescent="0.2">
      <c r="A26" s="3"/>
      <c r="B26" t="s">
        <v>26</v>
      </c>
      <c r="C26">
        <v>25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0</v>
      </c>
      <c r="O26" s="4">
        <v>1.9329874547088337</v>
      </c>
      <c r="P26" s="4">
        <f t="shared" si="15"/>
        <v>2.0134671519016019</v>
      </c>
      <c r="S26" s="13">
        <f t="shared" si="11"/>
        <v>-8.0479697192768151E-2</v>
      </c>
      <c r="T26" s="13">
        <f t="shared" si="12"/>
        <v>6.4769816602396535E-3</v>
      </c>
      <c r="U26">
        <f t="shared" si="13"/>
        <v>8.0479697192768151E-2</v>
      </c>
      <c r="V26" s="13">
        <f t="shared" si="14"/>
        <v>4.1634878176118752E-2</v>
      </c>
    </row>
    <row r="27" spans="1:22" ht="16" x14ac:dyDescent="0.2">
      <c r="A27" s="3"/>
      <c r="B27" t="s">
        <v>27</v>
      </c>
      <c r="C27">
        <v>26</v>
      </c>
      <c r="D27">
        <f t="shared" si="0"/>
        <v>0</v>
      </c>
      <c r="E27">
        <f t="shared" si="1"/>
        <v>1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  <c r="N27">
        <f t="shared" si="10"/>
        <v>0</v>
      </c>
      <c r="O27" s="4">
        <v>2.3441932055171342</v>
      </c>
      <c r="P27" s="4">
        <f t="shared" si="15"/>
        <v>2.3397989307278113</v>
      </c>
      <c r="S27" s="13">
        <f t="shared" si="11"/>
        <v>4.3942747893228606E-3</v>
      </c>
      <c r="T27" s="13">
        <f t="shared" si="12"/>
        <v>1.930965092407847E-5</v>
      </c>
      <c r="U27">
        <f t="shared" si="13"/>
        <v>4.3942747893228606E-3</v>
      </c>
      <c r="V27" s="13">
        <f t="shared" si="14"/>
        <v>1.8745361000879934E-3</v>
      </c>
    </row>
    <row r="28" spans="1:22" ht="16" x14ac:dyDescent="0.2">
      <c r="A28" s="3"/>
      <c r="B28" t="s">
        <v>28</v>
      </c>
      <c r="C28">
        <v>27</v>
      </c>
      <c r="D28">
        <f t="shared" si="0"/>
        <v>0</v>
      </c>
      <c r="E28">
        <f t="shared" si="1"/>
        <v>0</v>
      </c>
      <c r="F28">
        <f t="shared" si="2"/>
        <v>1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0</v>
      </c>
      <c r="O28" s="4">
        <v>2.8995796645012843</v>
      </c>
      <c r="P28" s="4">
        <f t="shared" si="15"/>
        <v>2.9110169472901664</v>
      </c>
      <c r="S28" s="13">
        <f t="shared" si="11"/>
        <v>-1.1437282788882008E-2</v>
      </c>
      <c r="T28" s="13">
        <f t="shared" si="12"/>
        <v>1.3081143759285661E-4</v>
      </c>
      <c r="U28">
        <f t="shared" si="13"/>
        <v>1.1437282788882008E-2</v>
      </c>
      <c r="V28" s="13">
        <f t="shared" si="14"/>
        <v>3.9444623401472135E-3</v>
      </c>
    </row>
    <row r="29" spans="1:22" ht="16" x14ac:dyDescent="0.2">
      <c r="A29" s="3"/>
      <c r="B29" t="s">
        <v>29</v>
      </c>
      <c r="C29">
        <v>28</v>
      </c>
      <c r="D29">
        <f t="shared" si="0"/>
        <v>0</v>
      </c>
      <c r="E29">
        <f t="shared" si="1"/>
        <v>0</v>
      </c>
      <c r="F29">
        <f t="shared" si="2"/>
        <v>0</v>
      </c>
      <c r="G29">
        <f t="shared" si="3"/>
        <v>1</v>
      </c>
      <c r="H29">
        <f t="shared" si="4"/>
        <v>0</v>
      </c>
      <c r="I29">
        <f t="shared" si="5"/>
        <v>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0</v>
      </c>
      <c r="O29" s="4">
        <v>4.143054670051348</v>
      </c>
      <c r="P29" s="4">
        <f t="shared" si="15"/>
        <v>4.3535350964902708</v>
      </c>
      <c r="S29" s="13">
        <f t="shared" si="11"/>
        <v>-0.21048042643892284</v>
      </c>
      <c r="T29" s="13">
        <f t="shared" si="12"/>
        <v>4.4302009913910811E-2</v>
      </c>
      <c r="U29">
        <f t="shared" si="13"/>
        <v>0.21048042643892284</v>
      </c>
      <c r="V29" s="13">
        <f t="shared" si="14"/>
        <v>5.080319793036045E-2</v>
      </c>
    </row>
    <row r="30" spans="1:22" ht="16" x14ac:dyDescent="0.2">
      <c r="B30" t="s">
        <v>30</v>
      </c>
      <c r="C30">
        <v>29</v>
      </c>
      <c r="D30">
        <f t="shared" si="0"/>
        <v>0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1</v>
      </c>
      <c r="I30">
        <f t="shared" si="5"/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0</v>
      </c>
      <c r="O30" s="4">
        <v>2.3710568560588241</v>
      </c>
      <c r="P30" s="4">
        <f t="shared" si="15"/>
        <v>2.2889079900566891</v>
      </c>
      <c r="S30" s="13">
        <f t="shared" si="11"/>
        <v>8.2148866002135001E-2</v>
      </c>
      <c r="T30" s="13">
        <f t="shared" si="12"/>
        <v>6.748436185436732E-3</v>
      </c>
      <c r="U30">
        <f t="shared" si="13"/>
        <v>8.2148866002135001E-2</v>
      </c>
      <c r="V30" s="13">
        <f t="shared" si="14"/>
        <v>3.4646518826496227E-2</v>
      </c>
    </row>
    <row r="31" spans="1:22" ht="16" x14ac:dyDescent="0.2">
      <c r="A31" s="3"/>
      <c r="B31" t="s">
        <v>31</v>
      </c>
      <c r="C31">
        <v>30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  <c r="I31">
        <f t="shared" si="5"/>
        <v>1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0</v>
      </c>
      <c r="O31" s="4">
        <v>2.0444371023317145</v>
      </c>
      <c r="P31" s="4">
        <f t="shared" si="15"/>
        <v>2.1172702529571326</v>
      </c>
      <c r="S31" s="13">
        <f t="shared" si="11"/>
        <v>-7.2833150625418064E-2</v>
      </c>
      <c r="T31" s="13">
        <f t="shared" si="12"/>
        <v>5.3046678300248361E-3</v>
      </c>
      <c r="U31">
        <f t="shared" si="13"/>
        <v>7.2833150625418064E-2</v>
      </c>
      <c r="V31" s="13">
        <f t="shared" si="14"/>
        <v>3.5625038570445938E-2</v>
      </c>
    </row>
    <row r="32" spans="1:22" ht="16" x14ac:dyDescent="0.2">
      <c r="A32" s="3"/>
      <c r="B32" t="s">
        <v>32</v>
      </c>
      <c r="C32">
        <v>31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1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0</v>
      </c>
      <c r="O32" s="4">
        <v>2.4884374731917722</v>
      </c>
      <c r="P32" s="4">
        <f t="shared" si="15"/>
        <v>2.4271086393490364</v>
      </c>
      <c r="S32" s="13">
        <f t="shared" si="11"/>
        <v>6.1328833842735797E-2</v>
      </c>
      <c r="T32" s="13">
        <f t="shared" si="12"/>
        <v>3.7612258605098955E-3</v>
      </c>
      <c r="U32">
        <f t="shared" si="13"/>
        <v>6.1328833842735797E-2</v>
      </c>
      <c r="V32" s="13">
        <f t="shared" si="14"/>
        <v>2.4645519328268639E-2</v>
      </c>
    </row>
    <row r="33" spans="1:35" ht="16" x14ac:dyDescent="0.2">
      <c r="A33" s="3"/>
      <c r="B33" t="s">
        <v>33</v>
      </c>
      <c r="C33">
        <v>32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  <c r="K33">
        <f t="shared" si="7"/>
        <v>1</v>
      </c>
      <c r="L33">
        <f t="shared" si="8"/>
        <v>0</v>
      </c>
      <c r="M33">
        <f t="shared" si="9"/>
        <v>0</v>
      </c>
      <c r="N33">
        <f t="shared" si="10"/>
        <v>0</v>
      </c>
      <c r="O33" s="4">
        <v>2.5215532289042271</v>
      </c>
      <c r="P33" s="4">
        <f t="shared" si="15"/>
        <v>2.4256998262741791</v>
      </c>
      <c r="S33" s="13">
        <f t="shared" si="11"/>
        <v>9.5853402630047935E-2</v>
      </c>
      <c r="T33" s="13">
        <f t="shared" si="12"/>
        <v>9.1878747957580796E-3</v>
      </c>
      <c r="U33">
        <f t="shared" si="13"/>
        <v>9.5853402630047935E-2</v>
      </c>
      <c r="V33" s="13">
        <f t="shared" si="14"/>
        <v>3.8013634426310422E-2</v>
      </c>
    </row>
    <row r="34" spans="1:35" ht="16" x14ac:dyDescent="0.2">
      <c r="A34" s="3">
        <v>4</v>
      </c>
      <c r="B34" t="s">
        <v>34</v>
      </c>
      <c r="C34">
        <v>33</v>
      </c>
      <c r="D34">
        <f t="shared" si="0"/>
        <v>0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  <c r="K34">
        <f t="shared" si="7"/>
        <v>0</v>
      </c>
      <c r="L34">
        <f t="shared" si="8"/>
        <v>1</v>
      </c>
      <c r="M34">
        <f t="shared" si="9"/>
        <v>0</v>
      </c>
      <c r="N34">
        <f t="shared" si="10"/>
        <v>0</v>
      </c>
      <c r="O34" s="4">
        <v>2.6474384289397217</v>
      </c>
      <c r="P34" s="4">
        <f t="shared" si="15"/>
        <v>2.6477290243409013</v>
      </c>
      <c r="S34" s="13">
        <f t="shared" ref="S34:S53" si="16">O34-P34</f>
        <v>-2.9059540117959415E-4</v>
      </c>
      <c r="T34" s="13">
        <f t="shared" ref="T34:T65" si="17">S34^2</f>
        <v>8.4445687186729264E-8</v>
      </c>
      <c r="U34">
        <f t="shared" ref="U34:U53" si="18">ABS(S34)</f>
        <v>2.9059540117959415E-4</v>
      </c>
      <c r="V34" s="13">
        <f t="shared" si="14"/>
        <v>1.0976474391360079E-4</v>
      </c>
    </row>
    <row r="35" spans="1:35" ht="16" x14ac:dyDescent="0.2">
      <c r="A35" s="3"/>
      <c r="B35" t="s">
        <v>35</v>
      </c>
      <c r="C35">
        <v>34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1</v>
      </c>
      <c r="N35">
        <f t="shared" si="10"/>
        <v>0</v>
      </c>
      <c r="O35" s="4">
        <v>2.4982554794953051</v>
      </c>
      <c r="P35" s="4">
        <f t="shared" si="15"/>
        <v>2.4243243438700559</v>
      </c>
      <c r="S35" s="13">
        <f t="shared" si="16"/>
        <v>7.3931135625249222E-2</v>
      </c>
      <c r="T35" s="13">
        <f t="shared" si="17"/>
        <v>5.4658128148389945E-3</v>
      </c>
      <c r="U35">
        <f t="shared" si="18"/>
        <v>7.3931135625249222E-2</v>
      </c>
      <c r="V35" s="13">
        <f t="shared" si="14"/>
        <v>2.9593104561181513E-2</v>
      </c>
      <c r="AG35" s="6"/>
      <c r="AH35" s="6"/>
      <c r="AI35" s="6"/>
    </row>
    <row r="36" spans="1:35" ht="16" x14ac:dyDescent="0.2">
      <c r="A36" s="3"/>
      <c r="B36" t="s">
        <v>36</v>
      </c>
      <c r="C36">
        <v>35</v>
      </c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>
        <f t="shared" si="10"/>
        <v>1</v>
      </c>
      <c r="O36" s="4">
        <v>2.476768214042278</v>
      </c>
      <c r="P36" s="4">
        <f t="shared" si="15"/>
        <v>2.4203565118980146</v>
      </c>
      <c r="S36" s="13">
        <f t="shared" si="16"/>
        <v>5.6411702144263387E-2</v>
      </c>
      <c r="T36" s="13">
        <f t="shared" si="17"/>
        <v>3.1822801388130904E-3</v>
      </c>
      <c r="U36">
        <f t="shared" si="18"/>
        <v>5.6411702144263387E-2</v>
      </c>
      <c r="V36" s="13">
        <f t="shared" si="14"/>
        <v>2.2776334831992661E-2</v>
      </c>
      <c r="AF36" s="5"/>
      <c r="AG36" s="5"/>
      <c r="AI36" s="4"/>
    </row>
    <row r="37" spans="1:35" ht="16" x14ac:dyDescent="0.2">
      <c r="A37" s="3"/>
      <c r="B37" t="s">
        <v>37</v>
      </c>
      <c r="C37">
        <v>36</v>
      </c>
      <c r="D37">
        <f t="shared" si="0"/>
        <v>0</v>
      </c>
      <c r="E37">
        <f t="shared" si="1"/>
        <v>0</v>
      </c>
      <c r="F37">
        <f t="shared" si="2"/>
        <v>0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>
        <f t="shared" si="10"/>
        <v>0</v>
      </c>
      <c r="O37" s="4">
        <v>2.5822888598280382</v>
      </c>
      <c r="P37" s="4">
        <f t="shared" si="15"/>
        <v>2.4878884314777858</v>
      </c>
      <c r="S37" s="13">
        <f t="shared" si="16"/>
        <v>9.4400428350252419E-2</v>
      </c>
      <c r="T37" s="13">
        <f t="shared" si="17"/>
        <v>8.9114408727111408E-3</v>
      </c>
      <c r="U37">
        <f t="shared" si="18"/>
        <v>9.4400428350252419E-2</v>
      </c>
      <c r="V37" s="13">
        <f t="shared" si="14"/>
        <v>3.6556881694691123E-2</v>
      </c>
      <c r="AF37" s="5"/>
      <c r="AG37" s="5"/>
      <c r="AI37" s="4"/>
    </row>
    <row r="38" spans="1:35" ht="16" x14ac:dyDescent="0.2">
      <c r="A38" s="3"/>
      <c r="B38" t="s">
        <v>26</v>
      </c>
      <c r="C38">
        <v>37</v>
      </c>
      <c r="D38">
        <f t="shared" si="0"/>
        <v>1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0</v>
      </c>
      <c r="O38" s="4">
        <v>2.1607364009543737</v>
      </c>
      <c r="P38" s="4">
        <f t="shared" si="15"/>
        <v>2.1765948083575228</v>
      </c>
      <c r="S38" s="13">
        <f t="shared" si="16"/>
        <v>-1.5858407403149144E-2</v>
      </c>
      <c r="T38" s="13">
        <f t="shared" si="17"/>
        <v>2.5148908536425557E-4</v>
      </c>
      <c r="U38">
        <f t="shared" si="18"/>
        <v>1.5858407403149144E-2</v>
      </c>
      <c r="V38" s="13">
        <f t="shared" si="14"/>
        <v>7.3393531002415007E-3</v>
      </c>
      <c r="AF38" s="5"/>
      <c r="AG38" s="5"/>
      <c r="AI38" s="4"/>
    </row>
    <row r="39" spans="1:35" ht="16" x14ac:dyDescent="0.2">
      <c r="A39" s="3"/>
      <c r="B39" t="s">
        <v>27</v>
      </c>
      <c r="C39">
        <v>38</v>
      </c>
      <c r="D39">
        <f t="shared" si="0"/>
        <v>0</v>
      </c>
      <c r="E39">
        <f t="shared" si="1"/>
        <v>1</v>
      </c>
      <c r="F39">
        <f t="shared" si="2"/>
        <v>0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0</v>
      </c>
      <c r="O39" s="4">
        <v>2.6283300965725793</v>
      </c>
      <c r="P39" s="4">
        <f t="shared" si="15"/>
        <v>2.5029265871837323</v>
      </c>
      <c r="S39" s="13">
        <f t="shared" si="16"/>
        <v>0.12540350938884703</v>
      </c>
      <c r="T39" s="13">
        <f t="shared" si="17"/>
        <v>1.5726040167038647E-2</v>
      </c>
      <c r="U39">
        <f t="shared" si="18"/>
        <v>0.12540350938884703</v>
      </c>
      <c r="V39" s="13">
        <f t="shared" si="14"/>
        <v>4.7712237345064433E-2</v>
      </c>
      <c r="AF39" s="5"/>
      <c r="AG39" s="5"/>
      <c r="AI39" s="4"/>
    </row>
    <row r="40" spans="1:35" ht="16" x14ac:dyDescent="0.2">
      <c r="A40" s="3"/>
      <c r="B40" t="s">
        <v>28</v>
      </c>
      <c r="C40">
        <v>39</v>
      </c>
      <c r="D40">
        <f t="shared" si="0"/>
        <v>0</v>
      </c>
      <c r="E40">
        <f t="shared" si="1"/>
        <v>0</v>
      </c>
      <c r="F40">
        <f t="shared" si="2"/>
        <v>1</v>
      </c>
      <c r="G40">
        <f t="shared" si="3"/>
        <v>0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0</v>
      </c>
      <c r="O40" s="4">
        <v>3.0760495721136603</v>
      </c>
      <c r="P40" s="4">
        <f t="shared" si="15"/>
        <v>3.0741446037460873</v>
      </c>
      <c r="S40" s="13">
        <f t="shared" si="16"/>
        <v>1.9049683675729234E-3</v>
      </c>
      <c r="T40" s="13">
        <f t="shared" si="17"/>
        <v>3.6289044814534487E-6</v>
      </c>
      <c r="U40">
        <f t="shared" si="18"/>
        <v>1.9049683675729234E-3</v>
      </c>
      <c r="V40" s="13">
        <f t="shared" si="14"/>
        <v>6.1929052926931662E-4</v>
      </c>
      <c r="AF40" s="5"/>
      <c r="AG40" s="5"/>
      <c r="AI40" s="4"/>
    </row>
    <row r="41" spans="1:35" ht="16" x14ac:dyDescent="0.2">
      <c r="A41" s="3"/>
      <c r="B41" t="s">
        <v>29</v>
      </c>
      <c r="C41">
        <v>40</v>
      </c>
      <c r="D41">
        <f t="shared" si="0"/>
        <v>0</v>
      </c>
      <c r="E41">
        <f t="shared" si="1"/>
        <v>0</v>
      </c>
      <c r="F41">
        <f t="shared" si="2"/>
        <v>0</v>
      </c>
      <c r="G41">
        <f t="shared" si="3"/>
        <v>1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0</v>
      </c>
      <c r="O41" s="4">
        <v>4.5093799234913297</v>
      </c>
      <c r="P41" s="4">
        <f t="shared" si="15"/>
        <v>4.5166627529461918</v>
      </c>
      <c r="S41" s="13">
        <f t="shared" si="16"/>
        <v>-7.2828294548621386E-3</v>
      </c>
      <c r="T41" s="13">
        <f t="shared" si="17"/>
        <v>5.3039604868607558E-5</v>
      </c>
      <c r="U41">
        <f t="shared" si="18"/>
        <v>7.2828294548621386E-3</v>
      </c>
      <c r="V41" s="13">
        <f t="shared" si="14"/>
        <v>1.615040111595543E-3</v>
      </c>
      <c r="AF41" s="5"/>
      <c r="AG41" s="5"/>
      <c r="AI41" s="4"/>
    </row>
    <row r="42" spans="1:35" ht="16" x14ac:dyDescent="0.2">
      <c r="A42" s="3"/>
      <c r="B42" t="s">
        <v>30</v>
      </c>
      <c r="C42">
        <v>41</v>
      </c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0</v>
      </c>
      <c r="H42">
        <f t="shared" si="4"/>
        <v>1</v>
      </c>
      <c r="I42">
        <f t="shared" si="5"/>
        <v>0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0</v>
      </c>
      <c r="O42" s="4">
        <v>2.6561844173520752</v>
      </c>
      <c r="P42" s="4">
        <f t="shared" si="15"/>
        <v>2.4520356465126105</v>
      </c>
      <c r="S42" s="13">
        <f t="shared" si="16"/>
        <v>0.2041487708394647</v>
      </c>
      <c r="T42" s="13">
        <f t="shared" si="17"/>
        <v>4.1676720635264272E-2</v>
      </c>
      <c r="U42">
        <f t="shared" si="18"/>
        <v>0.2041487708394647</v>
      </c>
      <c r="V42" s="13">
        <f t="shared" si="14"/>
        <v>7.6857905462369452E-2</v>
      </c>
      <c r="AF42" s="5"/>
      <c r="AG42" s="5"/>
      <c r="AI42" s="4"/>
    </row>
    <row r="43" spans="1:35" ht="16" x14ac:dyDescent="0.2">
      <c r="A43" s="3"/>
      <c r="B43" t="s">
        <v>31</v>
      </c>
      <c r="C43">
        <v>42</v>
      </c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0</v>
      </c>
      <c r="H43">
        <f t="shared" si="4"/>
        <v>0</v>
      </c>
      <c r="I43">
        <f t="shared" si="5"/>
        <v>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0</v>
      </c>
      <c r="O43" s="4">
        <v>2.3677933445262247</v>
      </c>
      <c r="P43" s="4">
        <f t="shared" si="15"/>
        <v>2.2803979094130535</v>
      </c>
      <c r="S43" s="13">
        <f t="shared" si="16"/>
        <v>8.739543511317116E-2</v>
      </c>
      <c r="T43" s="13">
        <f t="shared" si="17"/>
        <v>7.637962078620511E-3</v>
      </c>
      <c r="U43">
        <f t="shared" si="18"/>
        <v>8.739543511317116E-2</v>
      </c>
      <c r="V43" s="13">
        <f t="shared" si="14"/>
        <v>3.6910077188623165E-2</v>
      </c>
      <c r="AF43" s="5"/>
      <c r="AG43" s="5"/>
      <c r="AI43" s="4"/>
    </row>
    <row r="44" spans="1:35" ht="16" x14ac:dyDescent="0.2">
      <c r="A44" s="3"/>
      <c r="B44" t="s">
        <v>32</v>
      </c>
      <c r="C44">
        <v>43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  <c r="I44">
        <f t="shared" si="5"/>
        <v>0</v>
      </c>
      <c r="J44">
        <f t="shared" si="6"/>
        <v>1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0</v>
      </c>
      <c r="O44" s="4">
        <v>2.79609496686958</v>
      </c>
      <c r="P44" s="4">
        <f t="shared" si="15"/>
        <v>2.5902362958049578</v>
      </c>
      <c r="S44" s="13">
        <f t="shared" si="16"/>
        <v>0.20585867106462219</v>
      </c>
      <c r="T44" s="13">
        <f t="shared" si="17"/>
        <v>4.2377792452492319E-2</v>
      </c>
      <c r="U44">
        <f t="shared" si="18"/>
        <v>0.20585867106462219</v>
      </c>
      <c r="V44" s="13">
        <f t="shared" si="14"/>
        <v>7.3623633497361174E-2</v>
      </c>
      <c r="AF44" s="5"/>
      <c r="AG44" s="5"/>
      <c r="AI44" s="4"/>
    </row>
    <row r="45" spans="1:35" ht="16" x14ac:dyDescent="0.2">
      <c r="A45" s="3"/>
      <c r="B45" t="s">
        <v>33</v>
      </c>
      <c r="C45">
        <v>44</v>
      </c>
      <c r="D45">
        <f t="shared" si="0"/>
        <v>0</v>
      </c>
      <c r="E45">
        <f t="shared" si="1"/>
        <v>0</v>
      </c>
      <c r="F45">
        <f t="shared" si="2"/>
        <v>0</v>
      </c>
      <c r="G45">
        <f t="shared" si="3"/>
        <v>0</v>
      </c>
      <c r="H45">
        <f t="shared" si="4"/>
        <v>0</v>
      </c>
      <c r="I45">
        <f t="shared" si="5"/>
        <v>0</v>
      </c>
      <c r="J45">
        <f t="shared" si="6"/>
        <v>0</v>
      </c>
      <c r="K45">
        <f t="shared" si="7"/>
        <v>1</v>
      </c>
      <c r="L45">
        <f t="shared" si="8"/>
        <v>0</v>
      </c>
      <c r="M45">
        <f t="shared" si="9"/>
        <v>0</v>
      </c>
      <c r="N45">
        <f t="shared" si="10"/>
        <v>0</v>
      </c>
      <c r="O45" s="4">
        <v>2.5801324913764354</v>
      </c>
      <c r="P45" s="4">
        <f t="shared" si="15"/>
        <v>2.5888274827301005</v>
      </c>
      <c r="S45" s="13">
        <f t="shared" si="16"/>
        <v>-8.694991353665138E-3</v>
      </c>
      <c r="T45" s="13">
        <f t="shared" si="17"/>
        <v>7.560287464031151E-5</v>
      </c>
      <c r="U45">
        <f t="shared" si="18"/>
        <v>8.694991353665138E-3</v>
      </c>
      <c r="V45" s="13">
        <f t="shared" si="14"/>
        <v>3.3699786281233099E-3</v>
      </c>
      <c r="AF45" s="5"/>
      <c r="AG45" s="5"/>
      <c r="AI45" s="4"/>
    </row>
    <row r="46" spans="1:35" ht="16" x14ac:dyDescent="0.2">
      <c r="A46" s="3">
        <v>5</v>
      </c>
      <c r="B46" t="s">
        <v>34</v>
      </c>
      <c r="C46">
        <v>45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7"/>
        <v>0</v>
      </c>
      <c r="L46">
        <f t="shared" si="8"/>
        <v>1</v>
      </c>
      <c r="M46">
        <f t="shared" si="9"/>
        <v>0</v>
      </c>
      <c r="N46">
        <f t="shared" si="10"/>
        <v>0</v>
      </c>
      <c r="O46" s="4">
        <v>2.8427826963665241</v>
      </c>
      <c r="P46" s="4">
        <f t="shared" si="15"/>
        <v>2.8108566807968227</v>
      </c>
      <c r="S46" s="13">
        <f t="shared" si="16"/>
        <v>3.1926015569701427E-2</v>
      </c>
      <c r="T46" s="13">
        <f t="shared" si="17"/>
        <v>1.0192704701568178E-3</v>
      </c>
      <c r="U46">
        <f t="shared" si="18"/>
        <v>3.1926015569701427E-2</v>
      </c>
      <c r="V46" s="13">
        <f t="shared" si="14"/>
        <v>1.123055082982859E-2</v>
      </c>
      <c r="AF46" s="5"/>
      <c r="AG46" s="5"/>
      <c r="AI46" s="4"/>
    </row>
    <row r="47" spans="1:35" ht="16" x14ac:dyDescent="0.2">
      <c r="A47" s="3"/>
      <c r="B47" t="s">
        <v>35</v>
      </c>
      <c r="C47">
        <v>46</v>
      </c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0</v>
      </c>
      <c r="H47">
        <f t="shared" si="4"/>
        <v>0</v>
      </c>
      <c r="I47">
        <f t="shared" si="5"/>
        <v>0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1</v>
      </c>
      <c r="N47">
        <f t="shared" si="10"/>
        <v>0</v>
      </c>
      <c r="O47" s="4">
        <v>2.47013137211722</v>
      </c>
      <c r="P47" s="4">
        <f t="shared" si="15"/>
        <v>2.5874520003259769</v>
      </c>
      <c r="S47" s="13">
        <f t="shared" si="16"/>
        <v>-0.11732062820875688</v>
      </c>
      <c r="T47" s="13">
        <f t="shared" si="17"/>
        <v>1.3764129803297361E-2</v>
      </c>
      <c r="U47">
        <f t="shared" si="18"/>
        <v>0.11732062820875688</v>
      </c>
      <c r="V47" s="13">
        <f t="shared" si="14"/>
        <v>4.7495703885659338E-2</v>
      </c>
      <c r="AF47" s="5"/>
      <c r="AG47" s="5"/>
      <c r="AI47" s="4"/>
    </row>
    <row r="48" spans="1:35" ht="16" x14ac:dyDescent="0.2">
      <c r="A48" s="3"/>
      <c r="B48" t="s">
        <v>36</v>
      </c>
      <c r="C48">
        <v>47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0</v>
      </c>
      <c r="I48">
        <f t="shared" si="5"/>
        <v>0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</v>
      </c>
      <c r="O48" s="4">
        <v>2.4097632374318176</v>
      </c>
      <c r="P48" s="4">
        <f t="shared" si="15"/>
        <v>2.5834841683539356</v>
      </c>
      <c r="S48" s="13">
        <f t="shared" si="16"/>
        <v>-0.17372093092211793</v>
      </c>
      <c r="T48" s="13">
        <f t="shared" si="17"/>
        <v>3.0178961840447271E-2</v>
      </c>
      <c r="U48">
        <f t="shared" si="18"/>
        <v>0.17372093092211793</v>
      </c>
      <c r="V48" s="13">
        <f t="shared" si="14"/>
        <v>7.2090456117697016E-2</v>
      </c>
      <c r="AF48" s="5"/>
      <c r="AG48" s="5"/>
      <c r="AI48" s="4"/>
    </row>
    <row r="49" spans="1:35" ht="16" x14ac:dyDescent="0.2">
      <c r="A49" s="3"/>
      <c r="B49" t="s">
        <v>37</v>
      </c>
      <c r="C49">
        <v>48</v>
      </c>
      <c r="D49">
        <f t="shared" si="0"/>
        <v>0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0</v>
      </c>
      <c r="I49">
        <f t="shared" si="5"/>
        <v>0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0</v>
      </c>
      <c r="O49" s="4">
        <v>2.3284019109482599</v>
      </c>
      <c r="P49" s="4">
        <f t="shared" si="15"/>
        <v>2.6510160879337068</v>
      </c>
      <c r="S49" s="13">
        <f t="shared" si="16"/>
        <v>-0.32261417698544692</v>
      </c>
      <c r="T49" s="13">
        <f t="shared" si="17"/>
        <v>0.10407990719199726</v>
      </c>
      <c r="U49">
        <f t="shared" si="18"/>
        <v>0.32261417698544692</v>
      </c>
      <c r="V49" s="13">
        <f t="shared" si="14"/>
        <v>0.13855605231575324</v>
      </c>
      <c r="AF49" s="5"/>
      <c r="AG49" s="5"/>
      <c r="AI49" s="4"/>
    </row>
    <row r="50" spans="1:35" ht="16" x14ac:dyDescent="0.2">
      <c r="A50" s="12"/>
      <c r="B50" t="s">
        <v>26</v>
      </c>
      <c r="C50">
        <v>49</v>
      </c>
      <c r="D50">
        <f t="shared" ref="D50:D53" si="19">IF(B50="May", 1,0)</f>
        <v>1</v>
      </c>
      <c r="E50">
        <f t="shared" ref="E50:E53" si="20">IF(B50="June",1,0)</f>
        <v>0</v>
      </c>
      <c r="F50">
        <f t="shared" ref="F50:F53" si="21">IF(B50="July",1,0)</f>
        <v>0</v>
      </c>
      <c r="G50">
        <f t="shared" ref="G50:G53" si="22">IF(B50="August",1,0)</f>
        <v>0</v>
      </c>
      <c r="H50">
        <f t="shared" ref="H50:H53" si="23">IF(B50="September",1,0)</f>
        <v>0</v>
      </c>
      <c r="I50">
        <f t="shared" ref="I50:I53" si="24">IF(B50="October",1,0)</f>
        <v>0</v>
      </c>
      <c r="J50">
        <f t="shared" ref="J50:J53" si="25">IF(B50="November",1,0)</f>
        <v>0</v>
      </c>
      <c r="K50">
        <f t="shared" ref="K50:K53" si="26">IF(B50="December",1,0)</f>
        <v>0</v>
      </c>
      <c r="L50">
        <f t="shared" ref="L50:L53" si="27">IF(B50="January",1,0)</f>
        <v>0</v>
      </c>
      <c r="M50">
        <f t="shared" ref="M50:M53" si="28">IF(B50="February",1,0)</f>
        <v>0</v>
      </c>
      <c r="N50">
        <f t="shared" ref="N50:N53" si="29">IF(B50="March",1,0)</f>
        <v>0</v>
      </c>
      <c r="O50" s="4">
        <v>0</v>
      </c>
      <c r="P50" s="15">
        <f t="shared" si="15"/>
        <v>2.3397224648134438</v>
      </c>
      <c r="S50" s="13">
        <f t="shared" si="16"/>
        <v>-2.3397224648134438</v>
      </c>
      <c r="T50" s="13">
        <f t="shared" si="17"/>
        <v>5.4743012123526968</v>
      </c>
      <c r="U50">
        <f t="shared" si="18"/>
        <v>2.3397224648134438</v>
      </c>
      <c r="V50" s="4"/>
      <c r="Y50" s="4"/>
      <c r="AF50" s="5"/>
      <c r="AG50" s="5"/>
      <c r="AI50" s="4"/>
    </row>
    <row r="51" spans="1:35" ht="16" x14ac:dyDescent="0.2">
      <c r="A51" s="12"/>
      <c r="B51" t="s">
        <v>27</v>
      </c>
      <c r="C51">
        <v>50</v>
      </c>
      <c r="D51">
        <f t="shared" si="19"/>
        <v>0</v>
      </c>
      <c r="E51">
        <f t="shared" si="20"/>
        <v>1</v>
      </c>
      <c r="F51">
        <f t="shared" si="21"/>
        <v>0</v>
      </c>
      <c r="G51">
        <f t="shared" si="22"/>
        <v>0</v>
      </c>
      <c r="H51">
        <f t="shared" si="23"/>
        <v>0</v>
      </c>
      <c r="I51">
        <f t="shared" si="24"/>
        <v>0</v>
      </c>
      <c r="J51">
        <f t="shared" si="25"/>
        <v>0</v>
      </c>
      <c r="K51">
        <f t="shared" si="26"/>
        <v>0</v>
      </c>
      <c r="L51">
        <f t="shared" si="27"/>
        <v>0</v>
      </c>
      <c r="M51">
        <f t="shared" si="28"/>
        <v>0</v>
      </c>
      <c r="N51">
        <f t="shared" si="29"/>
        <v>0</v>
      </c>
      <c r="O51" s="4">
        <v>0</v>
      </c>
      <c r="P51" s="15">
        <f t="shared" si="15"/>
        <v>2.6660542436396537</v>
      </c>
      <c r="S51" s="13">
        <f t="shared" si="16"/>
        <v>-2.6660542436396537</v>
      </c>
      <c r="T51" s="13">
        <f t="shared" si="17"/>
        <v>7.1078452300290058</v>
      </c>
      <c r="U51">
        <f t="shared" si="18"/>
        <v>2.6660542436396537</v>
      </c>
      <c r="V51" s="4"/>
      <c r="AF51" s="5"/>
      <c r="AG51" s="5"/>
      <c r="AI51" s="4"/>
    </row>
    <row r="52" spans="1:35" ht="16" x14ac:dyDescent="0.2">
      <c r="A52" s="12"/>
      <c r="B52" t="s">
        <v>28</v>
      </c>
      <c r="C52">
        <v>60</v>
      </c>
      <c r="D52">
        <f t="shared" si="19"/>
        <v>0</v>
      </c>
      <c r="E52">
        <f t="shared" si="20"/>
        <v>0</v>
      </c>
      <c r="F52">
        <f t="shared" si="21"/>
        <v>1</v>
      </c>
      <c r="G52">
        <f t="shared" si="22"/>
        <v>0</v>
      </c>
      <c r="H52">
        <f t="shared" si="23"/>
        <v>0</v>
      </c>
      <c r="I52">
        <f t="shared" si="24"/>
        <v>0</v>
      </c>
      <c r="J52">
        <f t="shared" si="25"/>
        <v>0</v>
      </c>
      <c r="K52">
        <f t="shared" si="26"/>
        <v>0</v>
      </c>
      <c r="L52">
        <f t="shared" si="27"/>
        <v>0</v>
      </c>
      <c r="M52">
        <f t="shared" si="28"/>
        <v>0</v>
      </c>
      <c r="N52">
        <f t="shared" si="29"/>
        <v>0</v>
      </c>
      <c r="O52" s="4">
        <v>0</v>
      </c>
      <c r="P52" s="15">
        <f t="shared" si="15"/>
        <v>3.3596180025439493</v>
      </c>
      <c r="S52" s="13">
        <f t="shared" si="16"/>
        <v>-3.3596180025439493</v>
      </c>
      <c r="T52" s="13">
        <f t="shared" si="17"/>
        <v>11.287033123017396</v>
      </c>
      <c r="U52">
        <f t="shared" si="18"/>
        <v>3.3596180025439493</v>
      </c>
      <c r="V52" s="4"/>
      <c r="AF52" s="5"/>
      <c r="AG52" s="5"/>
      <c r="AI52" s="4"/>
    </row>
    <row r="53" spans="1:35" ht="16" x14ac:dyDescent="0.2">
      <c r="A53" s="12"/>
      <c r="B53" t="s">
        <v>29</v>
      </c>
      <c r="C53">
        <v>70</v>
      </c>
      <c r="D53">
        <f t="shared" si="19"/>
        <v>0</v>
      </c>
      <c r="E53">
        <f t="shared" si="20"/>
        <v>0</v>
      </c>
      <c r="F53">
        <f t="shared" si="21"/>
        <v>0</v>
      </c>
      <c r="G53">
        <f t="shared" si="22"/>
        <v>1</v>
      </c>
      <c r="H53">
        <f t="shared" si="23"/>
        <v>0</v>
      </c>
      <c r="I53">
        <f t="shared" si="24"/>
        <v>0</v>
      </c>
      <c r="J53">
        <f t="shared" si="25"/>
        <v>0</v>
      </c>
      <c r="K53">
        <f t="shared" si="26"/>
        <v>0</v>
      </c>
      <c r="L53">
        <f t="shared" si="27"/>
        <v>0</v>
      </c>
      <c r="M53">
        <f t="shared" si="28"/>
        <v>0</v>
      </c>
      <c r="N53">
        <f t="shared" si="29"/>
        <v>0</v>
      </c>
      <c r="O53" s="4">
        <v>0</v>
      </c>
      <c r="P53" s="15">
        <f t="shared" si="15"/>
        <v>4.9244818940859947</v>
      </c>
      <c r="Q53" s="4"/>
      <c r="R53" s="4"/>
      <c r="S53" s="13">
        <f t="shared" si="16"/>
        <v>-4.9244818940859947</v>
      </c>
      <c r="T53" s="13">
        <f t="shared" si="17"/>
        <v>24.250521925180784</v>
      </c>
      <c r="U53">
        <f t="shared" si="18"/>
        <v>4.9244818940859947</v>
      </c>
      <c r="V53" s="4"/>
      <c r="AF53" s="5"/>
      <c r="AG53" s="5"/>
      <c r="AI53" s="4"/>
    </row>
    <row r="54" spans="1:35" ht="34" x14ac:dyDescent="0.2">
      <c r="O54" s="6" t="s">
        <v>67</v>
      </c>
      <c r="P54" s="4">
        <f>SUM(P50:P53)</f>
        <v>13.289876605083043</v>
      </c>
      <c r="AF54" s="5"/>
      <c r="AG54" s="5"/>
      <c r="AI54" s="4"/>
    </row>
    <row r="55" spans="1:35" ht="16" x14ac:dyDescent="0.2">
      <c r="AF55" s="5"/>
      <c r="AG55" s="5"/>
      <c r="AI55" s="4"/>
    </row>
    <row r="56" spans="1:35" ht="16" x14ac:dyDescent="0.2">
      <c r="S56" s="39"/>
      <c r="T56" s="23" t="s">
        <v>38</v>
      </c>
      <c r="AF56" s="5"/>
      <c r="AG56" s="5"/>
      <c r="AI56" s="4"/>
    </row>
    <row r="57" spans="1:35" ht="16" x14ac:dyDescent="0.2">
      <c r="S57" s="23" t="s">
        <v>42</v>
      </c>
      <c r="T57" s="30">
        <f>AVERAGE(T2:T53)</f>
        <v>0.94343144184983252</v>
      </c>
      <c r="AF57" s="5"/>
      <c r="AG57" s="5"/>
      <c r="AI57" s="4"/>
    </row>
    <row r="58" spans="1:35" ht="16" x14ac:dyDescent="0.2">
      <c r="P58">
        <v>2.34</v>
      </c>
      <c r="S58" s="23" t="s">
        <v>43</v>
      </c>
      <c r="T58" s="12">
        <f>AVERAGE(U2:U53)</f>
        <v>0.34786517974746872</v>
      </c>
      <c r="AF58" s="5"/>
      <c r="AG58" s="5"/>
      <c r="AI58" s="4"/>
    </row>
    <row r="59" spans="1:35" ht="16" x14ac:dyDescent="0.2">
      <c r="P59">
        <v>2.67</v>
      </c>
      <c r="S59" s="23" t="s">
        <v>44</v>
      </c>
      <c r="T59" s="31">
        <f>AVERAGE(V2:V49)</f>
        <v>4.3676538851672282E-2</v>
      </c>
      <c r="AF59" s="5"/>
      <c r="AG59" s="5"/>
      <c r="AI59" s="4"/>
    </row>
    <row r="60" spans="1:35" ht="16" x14ac:dyDescent="0.2">
      <c r="P60">
        <v>3.36</v>
      </c>
      <c r="AF60" s="5"/>
      <c r="AG60" s="5"/>
      <c r="AI60" s="4"/>
    </row>
    <row r="61" spans="1:35" ht="16" x14ac:dyDescent="0.2">
      <c r="P61">
        <v>4.92</v>
      </c>
      <c r="AF61" s="5"/>
      <c r="AG61" s="5"/>
      <c r="AI61" s="4"/>
    </row>
    <row r="62" spans="1:35" ht="16" x14ac:dyDescent="0.2">
      <c r="AF62" s="5"/>
      <c r="AG62" s="5"/>
      <c r="AI62" s="4"/>
    </row>
    <row r="63" spans="1:35" ht="16" x14ac:dyDescent="0.2">
      <c r="AF63" s="5"/>
      <c r="AG63" s="5"/>
      <c r="AI63" s="4"/>
    </row>
    <row r="64" spans="1:35" ht="16" x14ac:dyDescent="0.2">
      <c r="AF64" s="5"/>
      <c r="AG64" s="5"/>
      <c r="AI64" s="4"/>
    </row>
    <row r="65" spans="1:35" ht="16" x14ac:dyDescent="0.2">
      <c r="A65" t="s">
        <v>45</v>
      </c>
      <c r="AF65" s="5"/>
      <c r="AG65" s="5"/>
      <c r="AI65" s="4"/>
    </row>
    <row r="66" spans="1:35" ht="16" x14ac:dyDescent="0.2">
      <c r="AF66" s="5"/>
      <c r="AG66" s="5"/>
      <c r="AI66" s="4"/>
    </row>
    <row r="67" spans="1:35" ht="16" x14ac:dyDescent="0.2">
      <c r="A67" s="10" t="s">
        <v>46</v>
      </c>
      <c r="B67" s="10"/>
      <c r="AF67" s="5"/>
      <c r="AG67" s="5"/>
      <c r="AI67" s="4"/>
    </row>
    <row r="68" spans="1:35" ht="16" x14ac:dyDescent="0.2">
      <c r="A68" t="s">
        <v>47</v>
      </c>
      <c r="B68">
        <v>0.97457946633884751</v>
      </c>
      <c r="AF68" s="5"/>
      <c r="AG68" s="5"/>
      <c r="AI68" s="4"/>
    </row>
    <row r="69" spans="1:35" ht="16" x14ac:dyDescent="0.2">
      <c r="A69" t="s">
        <v>48</v>
      </c>
      <c r="B69">
        <v>0.94980513620931273</v>
      </c>
      <c r="AF69" s="5"/>
      <c r="AG69" s="5"/>
      <c r="AI69" s="4"/>
    </row>
    <row r="70" spans="1:35" ht="16" x14ac:dyDescent="0.2">
      <c r="A70" t="s">
        <v>49</v>
      </c>
      <c r="B70">
        <v>0.93259546862393417</v>
      </c>
      <c r="AF70" s="5"/>
      <c r="AG70" s="5"/>
      <c r="AI70" s="4"/>
    </row>
    <row r="71" spans="1:35" ht="16" x14ac:dyDescent="0.2">
      <c r="A71" t="s">
        <v>50</v>
      </c>
      <c r="B71">
        <v>0.16377104973637588</v>
      </c>
      <c r="AF71" s="5"/>
      <c r="AG71" s="5"/>
      <c r="AI71" s="4"/>
    </row>
    <row r="72" spans="1:35" ht="16" x14ac:dyDescent="0.2">
      <c r="A72" s="8" t="s">
        <v>51</v>
      </c>
      <c r="B72" s="8">
        <v>48</v>
      </c>
      <c r="AF72" s="5"/>
      <c r="AG72" s="5"/>
      <c r="AI72" s="4"/>
    </row>
    <row r="73" spans="1:35" ht="16" x14ac:dyDescent="0.2">
      <c r="AF73" s="5"/>
      <c r="AG73" s="5"/>
      <c r="AI73" s="4"/>
    </row>
    <row r="74" spans="1:35" ht="16" x14ac:dyDescent="0.2">
      <c r="A74" t="s">
        <v>52</v>
      </c>
      <c r="AF74" s="5"/>
      <c r="AG74" s="5"/>
      <c r="AI74" s="4"/>
    </row>
    <row r="75" spans="1:35" ht="16" x14ac:dyDescent="0.2">
      <c r="A75" s="9"/>
      <c r="B75" s="9" t="s">
        <v>53</v>
      </c>
      <c r="C75" s="9" t="s">
        <v>54</v>
      </c>
      <c r="D75" s="9" t="s">
        <v>55</v>
      </c>
      <c r="E75" s="9" t="s">
        <v>56</v>
      </c>
      <c r="F75" s="9" t="s">
        <v>57</v>
      </c>
      <c r="AF75" s="5"/>
      <c r="AG75" s="5"/>
      <c r="AI75" s="4"/>
    </row>
    <row r="76" spans="1:35" ht="16" x14ac:dyDescent="0.2">
      <c r="A76" t="s">
        <v>38</v>
      </c>
      <c r="B76">
        <v>12</v>
      </c>
      <c r="C76">
        <v>17.763050217317438</v>
      </c>
      <c r="D76">
        <v>1.4802541847764532</v>
      </c>
      <c r="E76">
        <v>55.190208148835929</v>
      </c>
      <c r="F76" s="27">
        <v>4.2690958705636341E-19</v>
      </c>
      <c r="AF76" s="5"/>
      <c r="AG76" s="5"/>
      <c r="AI76" s="4"/>
    </row>
    <row r="77" spans="1:35" ht="16" x14ac:dyDescent="0.2">
      <c r="A77" t="s">
        <v>58</v>
      </c>
      <c r="B77">
        <v>35</v>
      </c>
      <c r="C77">
        <v>0.93873348561140768</v>
      </c>
      <c r="D77">
        <v>2.6820956731754504E-2</v>
      </c>
      <c r="AF77" s="5"/>
      <c r="AG77" s="5"/>
      <c r="AI77" s="4"/>
    </row>
    <row r="78" spans="1:35" ht="16" x14ac:dyDescent="0.2">
      <c r="A78" s="8" t="s">
        <v>59</v>
      </c>
      <c r="B78" s="8">
        <v>47</v>
      </c>
      <c r="C78" s="8">
        <v>18.701783702928847</v>
      </c>
      <c r="D78" s="8"/>
      <c r="E78" s="8"/>
      <c r="F78" s="8"/>
      <c r="AF78" s="5"/>
      <c r="AG78" s="5"/>
      <c r="AI78" s="4"/>
    </row>
    <row r="79" spans="1:35" ht="16" x14ac:dyDescent="0.2">
      <c r="AF79" s="5"/>
      <c r="AG79" s="5"/>
      <c r="AI79" s="4"/>
    </row>
    <row r="80" spans="1:35" ht="16" x14ac:dyDescent="0.2">
      <c r="A80" s="9"/>
      <c r="B80" s="9" t="s">
        <v>60</v>
      </c>
      <c r="C80" s="9" t="s">
        <v>50</v>
      </c>
      <c r="D80" s="9" t="s">
        <v>61</v>
      </c>
      <c r="E80" s="9" t="s">
        <v>62</v>
      </c>
      <c r="F80" s="9" t="s">
        <v>63</v>
      </c>
      <c r="G80" s="9" t="s">
        <v>64</v>
      </c>
      <c r="H80" s="9" t="s">
        <v>65</v>
      </c>
      <c r="I80" s="9" t="s">
        <v>66</v>
      </c>
      <c r="AF80" s="5"/>
      <c r="AG80" s="5"/>
      <c r="AI80" s="4"/>
    </row>
    <row r="81" spans="1:35" ht="16" x14ac:dyDescent="0.2">
      <c r="A81" t="s">
        <v>41</v>
      </c>
      <c r="B81">
        <v>1.9985054621100222</v>
      </c>
      <c r="C81">
        <v>9.7463269196638377E-2</v>
      </c>
      <c r="D81">
        <v>20.505216771232142</v>
      </c>
      <c r="E81">
        <v>4.3796685453197174E-21</v>
      </c>
      <c r="F81">
        <v>1.8006445066007291</v>
      </c>
      <c r="G81">
        <v>2.1963664176193154</v>
      </c>
      <c r="H81">
        <v>1.8006445066007291</v>
      </c>
      <c r="I81">
        <v>2.1963664176193154</v>
      </c>
      <c r="AF81" s="5"/>
      <c r="AG81" s="5"/>
      <c r="AI81" s="4"/>
    </row>
    <row r="82" spans="1:35" ht="16" x14ac:dyDescent="0.2">
      <c r="A82" t="s">
        <v>5</v>
      </c>
      <c r="B82">
        <v>1.3593971371326766E-2</v>
      </c>
      <c r="C82">
        <v>1.7618959672774737E-3</v>
      </c>
      <c r="D82">
        <v>7.7155357772527937</v>
      </c>
      <c r="E82" s="25">
        <v>4.6700792645254887E-9</v>
      </c>
      <c r="F82">
        <v>1.0017132399404459E-2</v>
      </c>
      <c r="G82">
        <v>1.7170810343249073E-2</v>
      </c>
      <c r="H82">
        <v>1.0017132399404459E-2</v>
      </c>
      <c r="I82">
        <v>1.7170810343249073E-2</v>
      </c>
      <c r="AF82" s="5"/>
      <c r="AG82" s="5"/>
      <c r="AI82" s="4"/>
    </row>
    <row r="83" spans="1:35" ht="16" x14ac:dyDescent="0.2">
      <c r="A83" t="s">
        <v>6</v>
      </c>
      <c r="B83">
        <v>-0.32488759449158988</v>
      </c>
      <c r="C83">
        <v>0.11741420668393489</v>
      </c>
      <c r="D83">
        <v>-2.7670211609583899</v>
      </c>
      <c r="E83" s="25">
        <v>8.9766838502674962E-3</v>
      </c>
      <c r="F83">
        <v>-0.56325110636987064</v>
      </c>
      <c r="G83">
        <v>-8.6524082613309156E-2</v>
      </c>
      <c r="H83">
        <v>-0.56325110636987064</v>
      </c>
      <c r="I83">
        <v>-8.6524082613309156E-2</v>
      </c>
      <c r="AF83" s="5"/>
      <c r="AG83" s="5"/>
      <c r="AI83" s="4"/>
    </row>
    <row r="84" spans="1:35" ht="16" x14ac:dyDescent="0.2">
      <c r="A84" t="s">
        <v>7</v>
      </c>
      <c r="B84">
        <v>-1.2149787036706711E-2</v>
      </c>
      <c r="C84">
        <v>0.11713627152094315</v>
      </c>
      <c r="D84">
        <v>-0.10372352542000121</v>
      </c>
      <c r="E84" s="25">
        <v>0.9179808370441207</v>
      </c>
      <c r="F84">
        <v>-0.24994906053705837</v>
      </c>
      <c r="G84">
        <v>0.22564948646364494</v>
      </c>
      <c r="H84">
        <v>-0.24994906053705837</v>
      </c>
      <c r="I84">
        <v>0.22564948646364494</v>
      </c>
      <c r="AF84" s="5"/>
      <c r="AG84" s="5"/>
      <c r="AI84" s="4"/>
    </row>
    <row r="85" spans="1:35" ht="16" x14ac:dyDescent="0.2">
      <c r="A85" t="s">
        <v>8</v>
      </c>
      <c r="B85">
        <v>0.54547425815432127</v>
      </c>
      <c r="C85">
        <v>0.11688423689804137</v>
      </c>
      <c r="D85">
        <v>4.6667906009442559</v>
      </c>
      <c r="E85" s="25">
        <v>4.3707841123942517E-5</v>
      </c>
      <c r="F85">
        <v>0.3081866421401161</v>
      </c>
      <c r="G85">
        <v>0.78276187416852638</v>
      </c>
      <c r="H85">
        <v>0.3081866421401161</v>
      </c>
      <c r="I85">
        <v>0.78276187416852638</v>
      </c>
      <c r="AF85" s="5"/>
      <c r="AG85" s="5"/>
      <c r="AI85" s="4"/>
    </row>
    <row r="86" spans="1:35" ht="16" x14ac:dyDescent="0.2">
      <c r="A86" t="s">
        <v>9</v>
      </c>
      <c r="B86">
        <v>1.9743984359830991</v>
      </c>
      <c r="C86">
        <v>0.11665827068599043</v>
      </c>
      <c r="D86">
        <v>16.924633156080258</v>
      </c>
      <c r="E86" s="25">
        <v>1.9828064139021295E-18</v>
      </c>
      <c r="F86">
        <v>1.7375695557674953</v>
      </c>
      <c r="G86">
        <v>2.2112273161987028</v>
      </c>
      <c r="H86">
        <v>1.7375695557674953</v>
      </c>
      <c r="I86">
        <v>2.2112273161987028</v>
      </c>
      <c r="AF86" s="5"/>
      <c r="AG86" s="5"/>
      <c r="AI86" s="4"/>
    </row>
    <row r="87" spans="1:35" ht="16" x14ac:dyDescent="0.2">
      <c r="A87" t="s">
        <v>10</v>
      </c>
      <c r="B87">
        <v>-0.10382264182180904</v>
      </c>
      <c r="C87">
        <v>0.11645852462766811</v>
      </c>
      <c r="D87">
        <v>-0.89149885896066861</v>
      </c>
      <c r="E87" s="25">
        <v>0.37874967168189455</v>
      </c>
      <c r="F87">
        <v>-0.34024601598077597</v>
      </c>
      <c r="G87">
        <v>0.13260073233715788</v>
      </c>
      <c r="H87">
        <v>-0.34024601598077597</v>
      </c>
      <c r="I87">
        <v>0.13260073233715788</v>
      </c>
      <c r="AF87" s="5"/>
      <c r="AG87" s="5"/>
      <c r="AI87" s="4"/>
    </row>
    <row r="88" spans="1:35" ht="16" x14ac:dyDescent="0.2">
      <c r="A88" t="s">
        <v>11</v>
      </c>
      <c r="B88">
        <v>-0.28905435029269294</v>
      </c>
      <c r="C88">
        <v>0.11628513384031326</v>
      </c>
      <c r="D88">
        <v>-2.4857377787399058</v>
      </c>
      <c r="E88" s="25">
        <v>1.7851933297809475E-2</v>
      </c>
      <c r="F88">
        <v>-0.52512572243956523</v>
      </c>
      <c r="G88">
        <v>-5.298297814582064E-2</v>
      </c>
      <c r="H88">
        <v>-0.52512572243956523</v>
      </c>
      <c r="I88">
        <v>-5.298297814582064E-2</v>
      </c>
    </row>
    <row r="89" spans="1:35" ht="16" x14ac:dyDescent="0.2">
      <c r="A89" t="s">
        <v>12</v>
      </c>
      <c r="B89">
        <v>7.1900647278846262E-3</v>
      </c>
      <c r="C89">
        <v>0.11613821636681428</v>
      </c>
      <c r="D89">
        <v>6.1909550127542165E-2</v>
      </c>
      <c r="E89" s="25">
        <v>0.95098705944826678</v>
      </c>
      <c r="F89">
        <v>-0.22858304909123889</v>
      </c>
      <c r="G89">
        <v>0.24296317854700814</v>
      </c>
      <c r="H89">
        <v>-0.22858304909123889</v>
      </c>
      <c r="I89">
        <v>0.24296317854700814</v>
      </c>
    </row>
    <row r="90" spans="1:35" ht="16" x14ac:dyDescent="0.2">
      <c r="A90" t="s">
        <v>13</v>
      </c>
      <c r="B90">
        <v>-7.8127197182997366E-3</v>
      </c>
      <c r="C90">
        <v>0.1160178727794532</v>
      </c>
      <c r="D90">
        <v>-6.7340656496533965E-2</v>
      </c>
      <c r="E90" s="25">
        <v>0.94669373814302327</v>
      </c>
      <c r="F90">
        <v>-0.24334152306660745</v>
      </c>
      <c r="G90">
        <v>0.22771608363000798</v>
      </c>
      <c r="H90">
        <v>-0.24334152306660745</v>
      </c>
      <c r="I90">
        <v>0.22771608363000798</v>
      </c>
    </row>
    <row r="91" spans="1:35" ht="16" x14ac:dyDescent="0.2">
      <c r="A91" t="s">
        <v>14</v>
      </c>
      <c r="B91">
        <v>0.20062250697709585</v>
      </c>
      <c r="C91">
        <v>0.11592418583916314</v>
      </c>
      <c r="D91">
        <v>1.7306354625207014</v>
      </c>
      <c r="E91" s="25">
        <v>9.2326006636188451E-2</v>
      </c>
      <c r="F91">
        <v>-3.4716101770955472E-2</v>
      </c>
      <c r="G91">
        <v>0.43596111572514717</v>
      </c>
      <c r="H91">
        <v>-3.4716101770955472E-2</v>
      </c>
      <c r="I91">
        <v>0.43596111572514717</v>
      </c>
    </row>
    <row r="92" spans="1:35" ht="16" x14ac:dyDescent="0.2">
      <c r="A92" t="s">
        <v>15</v>
      </c>
      <c r="B92">
        <v>-3.6376144865076364E-2</v>
      </c>
      <c r="C92">
        <v>0.11585722021296424</v>
      </c>
      <c r="D92">
        <v>-0.3139739137380575</v>
      </c>
      <c r="E92" s="25">
        <v>0.7554046638246279</v>
      </c>
      <c r="F92">
        <v>-0.27157880616446106</v>
      </c>
      <c r="G92">
        <v>0.19882651643430832</v>
      </c>
      <c r="H92">
        <v>-0.27157880616446106</v>
      </c>
      <c r="I92">
        <v>0.19882651643430832</v>
      </c>
    </row>
    <row r="93" spans="1:35" ht="16" x14ac:dyDescent="0.2">
      <c r="A93" s="8" t="s">
        <v>16</v>
      </c>
      <c r="B93" s="8">
        <v>-5.3937948208444608E-2</v>
      </c>
      <c r="C93" s="8">
        <v>0.11581702225181216</v>
      </c>
      <c r="D93" s="8">
        <v>-0.46571693141247772</v>
      </c>
      <c r="E93" s="26">
        <v>0.6443033341827672</v>
      </c>
      <c r="F93" s="8">
        <v>-0.28905900330819495</v>
      </c>
      <c r="G93" s="8">
        <v>0.18118310689130573</v>
      </c>
      <c r="H93" s="8">
        <v>-0.28905900330819495</v>
      </c>
      <c r="I93" s="8">
        <v>0.18118310689130573</v>
      </c>
    </row>
  </sheetData>
  <conditionalFormatting sqref="E82:E93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4B7D-64EA-5742-A7A1-5D1BE305902D}">
  <dimension ref="A1:O53"/>
  <sheetViews>
    <sheetView tabSelected="1" workbookViewId="0">
      <selection activeCell="O9" sqref="O9"/>
    </sheetView>
  </sheetViews>
  <sheetFormatPr baseColWidth="10" defaultColWidth="8.83203125" defaultRowHeight="16" x14ac:dyDescent="0.2"/>
  <cols>
    <col min="1" max="1" width="15.33203125" bestFit="1" customWidth="1"/>
    <col min="2" max="2" width="11.83203125" bestFit="1" customWidth="1"/>
    <col min="3" max="4" width="9.1640625" bestFit="1" customWidth="1"/>
    <col min="9" max="9" width="11.33203125" bestFit="1" customWidth="1"/>
    <col min="10" max="12" width="12.6640625" bestFit="1" customWidth="1"/>
    <col min="13" max="13" width="12" bestFit="1" customWidth="1"/>
    <col min="14" max="14" width="16.6640625" bestFit="1" customWidth="1"/>
    <col min="15" max="15" width="12" bestFit="1" customWidth="1"/>
  </cols>
  <sheetData>
    <row r="1" spans="1:15" x14ac:dyDescent="0.2">
      <c r="A1" s="42" t="s">
        <v>68</v>
      </c>
      <c r="B1" s="41" t="s">
        <v>69</v>
      </c>
      <c r="C1" s="40" t="s">
        <v>70</v>
      </c>
      <c r="D1" s="40"/>
      <c r="G1" t="s">
        <v>3</v>
      </c>
      <c r="H1" t="s">
        <v>4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 x14ac:dyDescent="0.2">
      <c r="A2" s="40">
        <v>55.8</v>
      </c>
      <c r="B2" s="40">
        <v>1.7115389999999999</v>
      </c>
      <c r="C2" s="40">
        <v>3.067274E-2</v>
      </c>
      <c r="D2" s="40">
        <f>AVERAGE(C2:C49)</f>
        <v>4.1473794999999987E-2</v>
      </c>
      <c r="G2">
        <v>5</v>
      </c>
      <c r="H2" t="s">
        <v>26</v>
      </c>
      <c r="I2">
        <v>49</v>
      </c>
      <c r="J2">
        <v>2.34</v>
      </c>
      <c r="K2" s="43">
        <v>69</v>
      </c>
      <c r="L2" s="43">
        <v>60.548503039826144</v>
      </c>
      <c r="M2">
        <v>4.1473794310429517E-2</v>
      </c>
      <c r="N2">
        <f>K2*M2</f>
        <v>2.8616918074196365</v>
      </c>
      <c r="O2" s="4">
        <f>N2-J2</f>
        <v>0.52169180741963661</v>
      </c>
    </row>
    <row r="3" spans="1:15" x14ac:dyDescent="0.2">
      <c r="A3" s="40">
        <v>56.4</v>
      </c>
      <c r="B3" s="40">
        <v>1.9034215400000001</v>
      </c>
      <c r="C3" s="40">
        <v>3.3748609999999998E-2</v>
      </c>
      <c r="D3" s="40"/>
      <c r="G3">
        <v>5</v>
      </c>
      <c r="H3" t="s">
        <v>27</v>
      </c>
      <c r="I3">
        <v>50</v>
      </c>
      <c r="J3">
        <v>2.67</v>
      </c>
      <c r="K3" s="43">
        <v>75</v>
      </c>
      <c r="L3" s="43">
        <v>66.464550911947839</v>
      </c>
      <c r="M3">
        <v>4.1473794310429517E-2</v>
      </c>
      <c r="N3">
        <f>K3*M3</f>
        <v>3.1105345732822136</v>
      </c>
      <c r="O3" s="4">
        <f>N3-J3</f>
        <v>0.44053457328221368</v>
      </c>
    </row>
    <row r="4" spans="1:15" x14ac:dyDescent="0.2">
      <c r="A4" s="40">
        <v>71.400000000000006</v>
      </c>
      <c r="B4" s="40">
        <v>2.7474046599999999</v>
      </c>
      <c r="C4" s="40">
        <v>3.8479060000000002E-2</v>
      </c>
      <c r="D4" s="40"/>
      <c r="G4">
        <v>5</v>
      </c>
      <c r="H4" t="s">
        <v>28</v>
      </c>
      <c r="I4">
        <v>51</v>
      </c>
      <c r="J4">
        <v>3.36</v>
      </c>
      <c r="K4" s="43">
        <v>85.2</v>
      </c>
      <c r="L4" s="43">
        <v>72.439365273584343</v>
      </c>
      <c r="M4">
        <v>4.1473794310429517E-2</v>
      </c>
      <c r="N4">
        <f>K4*M4</f>
        <v>3.5335672752485952</v>
      </c>
      <c r="O4" s="4">
        <f>N4-J4</f>
        <v>0.17356727524859528</v>
      </c>
    </row>
    <row r="5" spans="1:15" x14ac:dyDescent="0.2">
      <c r="A5" s="40">
        <v>117.6</v>
      </c>
      <c r="B5" s="40">
        <v>4.21514042</v>
      </c>
      <c r="C5" s="40">
        <v>3.5843029999999998E-2</v>
      </c>
      <c r="D5" s="40"/>
      <c r="G5">
        <v>5</v>
      </c>
      <c r="H5" t="s">
        <v>29</v>
      </c>
      <c r="I5">
        <v>52</v>
      </c>
      <c r="J5">
        <v>4.92</v>
      </c>
      <c r="K5" s="43">
        <v>121.8</v>
      </c>
      <c r="L5" s="43">
        <v>81.371809582075301</v>
      </c>
      <c r="M5">
        <v>4.1473794310429517E-2</v>
      </c>
      <c r="N5">
        <f>K5*M5</f>
        <v>5.0515081470103151</v>
      </c>
      <c r="O5" s="4">
        <f>N5-J5</f>
        <v>0.13150814701031521</v>
      </c>
    </row>
    <row r="6" spans="1:15" x14ac:dyDescent="0.2">
      <c r="A6" s="40">
        <v>46.8</v>
      </c>
      <c r="B6" s="40">
        <v>1.4565367600000001</v>
      </c>
      <c r="C6" s="40">
        <v>3.112258E-2</v>
      </c>
      <c r="D6" s="40"/>
      <c r="I6">
        <f t="shared" ref="I6:O6" si="0">SUM(I2:I5)</f>
        <v>202</v>
      </c>
      <c r="J6">
        <f t="shared" si="0"/>
        <v>13.29</v>
      </c>
      <c r="K6">
        <f t="shared" si="0"/>
        <v>351</v>
      </c>
      <c r="L6">
        <f t="shared" si="0"/>
        <v>280.8242288074336</v>
      </c>
      <c r="M6">
        <f t="shared" si="0"/>
        <v>0.16589517724171807</v>
      </c>
      <c r="N6">
        <f t="shared" si="0"/>
        <v>14.55730180296076</v>
      </c>
      <c r="O6" s="33">
        <f t="shared" si="0"/>
        <v>1.2673018029607608</v>
      </c>
    </row>
    <row r="7" spans="1:15" x14ac:dyDescent="0.2">
      <c r="A7" s="40">
        <v>48</v>
      </c>
      <c r="B7" s="40">
        <v>1.8097418999999999</v>
      </c>
      <c r="C7" s="40">
        <v>3.7702960000000001E-2</v>
      </c>
      <c r="D7" s="40"/>
    </row>
    <row r="8" spans="1:15" x14ac:dyDescent="0.2">
      <c r="A8" s="40">
        <v>60</v>
      </c>
      <c r="B8" s="40">
        <v>2.0428235799999999</v>
      </c>
      <c r="C8" s="40">
        <v>3.4047059999999997E-2</v>
      </c>
      <c r="D8" s="40"/>
    </row>
    <row r="9" spans="1:15" x14ac:dyDescent="0.2">
      <c r="A9" s="40">
        <v>57.6</v>
      </c>
      <c r="B9" s="40">
        <v>2.0043732099999998</v>
      </c>
      <c r="C9" s="40">
        <v>3.479815E-2</v>
      </c>
      <c r="D9" s="40"/>
    </row>
    <row r="10" spans="1:15" x14ac:dyDescent="0.2">
      <c r="A10" s="40">
        <v>61.8</v>
      </c>
      <c r="B10" s="40">
        <v>2.3388597899999999</v>
      </c>
      <c r="C10" s="40">
        <v>3.7845629999999998E-2</v>
      </c>
      <c r="D10" s="40"/>
    </row>
    <row r="11" spans="1:15" x14ac:dyDescent="0.2">
      <c r="A11" s="40">
        <v>58.2</v>
      </c>
      <c r="B11" s="40">
        <v>2.2198803800000002</v>
      </c>
      <c r="C11" s="40">
        <v>3.8142269999999999E-2</v>
      </c>
      <c r="D11" s="40"/>
    </row>
    <row r="12" spans="1:15" x14ac:dyDescent="0.2">
      <c r="A12" s="40">
        <v>56.4</v>
      </c>
      <c r="B12" s="40">
        <v>2.1511821499999999</v>
      </c>
      <c r="C12" s="40">
        <v>3.814153E-2</v>
      </c>
      <c r="D12" s="40"/>
    </row>
    <row r="13" spans="1:15" x14ac:dyDescent="0.2">
      <c r="A13" s="40">
        <v>63</v>
      </c>
      <c r="B13" s="40">
        <v>2.4563742999999998</v>
      </c>
      <c r="C13" s="40">
        <v>3.8990070000000002E-2</v>
      </c>
      <c r="D13" s="40"/>
    </row>
    <row r="14" spans="1:15" x14ac:dyDescent="0.2">
      <c r="A14" s="40">
        <v>57.6</v>
      </c>
      <c r="B14" s="40">
        <v>1.92235044</v>
      </c>
      <c r="C14" s="40">
        <v>3.3374139999999997E-2</v>
      </c>
      <c r="D14" s="40"/>
    </row>
    <row r="15" spans="1:15" x14ac:dyDescent="0.2">
      <c r="A15" s="40">
        <v>53.4</v>
      </c>
      <c r="B15" s="40">
        <v>2.1569955699999999</v>
      </c>
      <c r="C15" s="40">
        <v>4.0393180000000001E-2</v>
      </c>
      <c r="D15" s="40"/>
    </row>
    <row r="16" spans="1:15" x14ac:dyDescent="0.2">
      <c r="A16" s="40">
        <v>71.400000000000006</v>
      </c>
      <c r="B16" s="40">
        <v>2.5947785799999998</v>
      </c>
      <c r="C16" s="40">
        <v>3.6341440000000003E-2</v>
      </c>
      <c r="D16" s="40"/>
    </row>
    <row r="17" spans="1:4" x14ac:dyDescent="0.2">
      <c r="A17" s="40">
        <v>114</v>
      </c>
      <c r="B17" s="40">
        <v>4.2203100600000001</v>
      </c>
      <c r="C17" s="40">
        <v>3.7020259999999999E-2</v>
      </c>
      <c r="D17" s="40"/>
    </row>
    <row r="18" spans="1:4" x14ac:dyDescent="0.2">
      <c r="A18" s="40">
        <v>46.8</v>
      </c>
      <c r="B18" s="40">
        <v>2.3455986200000001</v>
      </c>
      <c r="C18" s="40">
        <v>5.0119629999999998E-2</v>
      </c>
      <c r="D18" s="40"/>
    </row>
    <row r="19" spans="1:4" x14ac:dyDescent="0.2">
      <c r="A19" s="40">
        <v>48.6</v>
      </c>
      <c r="B19" s="40">
        <v>1.92085336</v>
      </c>
      <c r="C19" s="40">
        <v>3.952373E-2</v>
      </c>
      <c r="D19" s="40"/>
    </row>
    <row r="20" spans="1:4" x14ac:dyDescent="0.2">
      <c r="A20" s="40">
        <v>59.4</v>
      </c>
      <c r="B20" s="40">
        <v>2.0548232199999998</v>
      </c>
      <c r="C20" s="40">
        <v>3.4592980000000002E-2</v>
      </c>
      <c r="D20" s="40"/>
    </row>
    <row r="21" spans="1:4" x14ac:dyDescent="0.2">
      <c r="A21" s="40">
        <v>58.2</v>
      </c>
      <c r="B21" s="40">
        <v>2.2704850599999999</v>
      </c>
      <c r="C21" s="40">
        <v>3.9011770000000001E-2</v>
      </c>
      <c r="D21" s="40"/>
    </row>
    <row r="22" spans="1:4" x14ac:dyDescent="0.2">
      <c r="A22" s="40">
        <v>60.6</v>
      </c>
      <c r="B22" s="40">
        <v>2.4355798700000002</v>
      </c>
      <c r="C22" s="40">
        <v>4.0191089999999999E-2</v>
      </c>
      <c r="D22" s="40"/>
    </row>
    <row r="23" spans="1:4" x14ac:dyDescent="0.2">
      <c r="A23" s="40">
        <v>55.2</v>
      </c>
      <c r="B23" s="40">
        <v>2.1827748300000001</v>
      </c>
      <c r="C23" s="40">
        <v>3.9543019999999998E-2</v>
      </c>
      <c r="D23" s="40"/>
    </row>
    <row r="24" spans="1:4" x14ac:dyDescent="0.2">
      <c r="A24" s="40">
        <v>51</v>
      </c>
      <c r="B24" s="40">
        <v>2.3174571400000001</v>
      </c>
      <c r="C24" s="40">
        <v>4.5440340000000003E-2</v>
      </c>
      <c r="D24" s="40"/>
    </row>
    <row r="25" spans="1:4" x14ac:dyDescent="0.2">
      <c r="A25" s="40">
        <v>58.8</v>
      </c>
      <c r="B25" s="40">
        <v>2.2582333399999999</v>
      </c>
      <c r="C25" s="40">
        <v>3.8405330000000001E-2</v>
      </c>
      <c r="D25" s="40"/>
    </row>
    <row r="26" spans="1:4" x14ac:dyDescent="0.2">
      <c r="A26" s="40">
        <v>49.8</v>
      </c>
      <c r="B26" s="40">
        <v>1.9329874499999999</v>
      </c>
      <c r="C26" s="40">
        <v>3.8815009999999997E-2</v>
      </c>
      <c r="D26" s="40"/>
    </row>
    <row r="27" spans="1:4" x14ac:dyDescent="0.2">
      <c r="A27" s="40">
        <v>54.6</v>
      </c>
      <c r="B27" s="40">
        <v>2.3441932099999998</v>
      </c>
      <c r="C27" s="40">
        <v>4.2933939999999997E-2</v>
      </c>
      <c r="D27" s="40"/>
    </row>
    <row r="28" spans="1:4" x14ac:dyDescent="0.2">
      <c r="A28" s="40">
        <v>65.400000000000006</v>
      </c>
      <c r="B28" s="40">
        <v>2.8995796600000001</v>
      </c>
      <c r="C28" s="40">
        <v>4.433608E-2</v>
      </c>
      <c r="D28" s="40"/>
    </row>
    <row r="29" spans="1:4" x14ac:dyDescent="0.2">
      <c r="A29" s="40">
        <v>102</v>
      </c>
      <c r="B29" s="40">
        <v>4.1430546699999997</v>
      </c>
      <c r="C29" s="40">
        <v>4.0618179999999997E-2</v>
      </c>
      <c r="D29" s="40"/>
    </row>
    <row r="30" spans="1:4" x14ac:dyDescent="0.2">
      <c r="A30" s="40">
        <v>43.8</v>
      </c>
      <c r="B30" s="40">
        <v>2.3710568599999999</v>
      </c>
      <c r="C30" s="40">
        <v>5.4133720000000003E-2</v>
      </c>
      <c r="D30" s="40"/>
    </row>
    <row r="31" spans="1:4" x14ac:dyDescent="0.2">
      <c r="A31" s="40">
        <v>45.6</v>
      </c>
      <c r="B31" s="40">
        <v>2.0444371000000001</v>
      </c>
      <c r="C31" s="40">
        <v>4.4834150000000003E-2</v>
      </c>
      <c r="D31" s="40"/>
    </row>
    <row r="32" spans="1:4" x14ac:dyDescent="0.2">
      <c r="A32" s="40">
        <v>57.6</v>
      </c>
      <c r="B32" s="40">
        <v>2.48843747</v>
      </c>
      <c r="C32" s="40">
        <v>4.3202039999999997E-2</v>
      </c>
      <c r="D32" s="40"/>
    </row>
    <row r="33" spans="1:4" x14ac:dyDescent="0.2">
      <c r="A33" s="40">
        <v>53.4</v>
      </c>
      <c r="B33" s="40">
        <v>2.5215532299999999</v>
      </c>
      <c r="C33" s="40">
        <v>4.7220100000000001E-2</v>
      </c>
      <c r="D33" s="40"/>
    </row>
    <row r="34" spans="1:4" x14ac:dyDescent="0.2">
      <c r="A34" s="40">
        <v>56.4</v>
      </c>
      <c r="B34" s="40">
        <v>2.6474384299999998</v>
      </c>
      <c r="C34" s="40">
        <v>4.69404E-2</v>
      </c>
      <c r="D34" s="40"/>
    </row>
    <row r="35" spans="1:4" x14ac:dyDescent="0.2">
      <c r="A35" s="40">
        <v>52.8</v>
      </c>
      <c r="B35" s="40">
        <v>2.4982554800000001</v>
      </c>
      <c r="C35" s="40">
        <v>4.731544E-2</v>
      </c>
      <c r="D35" s="40"/>
    </row>
    <row r="36" spans="1:4" x14ac:dyDescent="0.2">
      <c r="A36" s="40">
        <v>54</v>
      </c>
      <c r="B36" s="40">
        <v>2.4767682099999999</v>
      </c>
      <c r="C36" s="40">
        <v>4.5866079999999997E-2</v>
      </c>
      <c r="D36" s="40"/>
    </row>
    <row r="37" spans="1:4" x14ac:dyDescent="0.2">
      <c r="A37" s="40">
        <v>60.6</v>
      </c>
      <c r="B37" s="40">
        <v>2.5822888599999998</v>
      </c>
      <c r="C37" s="40">
        <v>4.2612030000000002E-2</v>
      </c>
      <c r="D37" s="40"/>
    </row>
    <row r="38" spans="1:4" x14ac:dyDescent="0.2">
      <c r="A38" s="40">
        <v>47.4</v>
      </c>
      <c r="B38" s="40">
        <v>2.1607363999999998</v>
      </c>
      <c r="C38" s="40">
        <v>4.558516E-2</v>
      </c>
      <c r="D38" s="40"/>
    </row>
    <row r="39" spans="1:4" x14ac:dyDescent="0.2">
      <c r="A39" s="40">
        <v>54.6</v>
      </c>
      <c r="B39" s="40">
        <v>2.6283300999999999</v>
      </c>
      <c r="C39" s="40">
        <v>4.8137909999999999E-2</v>
      </c>
      <c r="D39" s="40"/>
    </row>
    <row r="40" spans="1:4" x14ac:dyDescent="0.2">
      <c r="A40" s="40">
        <v>67.8</v>
      </c>
      <c r="B40" s="40">
        <v>3.0760495699999999</v>
      </c>
      <c r="C40" s="40">
        <v>4.536946E-2</v>
      </c>
      <c r="D40" s="40"/>
    </row>
    <row r="41" spans="1:4" x14ac:dyDescent="0.2">
      <c r="A41" s="40">
        <v>100.2</v>
      </c>
      <c r="B41" s="40">
        <v>4.5093799199999998</v>
      </c>
      <c r="C41" s="40">
        <v>4.5003790000000002E-2</v>
      </c>
      <c r="D41" s="40"/>
    </row>
    <row r="42" spans="1:4" x14ac:dyDescent="0.2">
      <c r="A42" s="40">
        <v>48</v>
      </c>
      <c r="B42" s="40">
        <v>2.6561844200000002</v>
      </c>
      <c r="C42" s="40">
        <v>5.533718E-2</v>
      </c>
      <c r="D42" s="40"/>
    </row>
    <row r="43" spans="1:4" x14ac:dyDescent="0.2">
      <c r="A43" s="40">
        <v>51.6</v>
      </c>
      <c r="B43" s="40">
        <v>2.36779334</v>
      </c>
      <c r="C43" s="40">
        <v>4.588747E-2</v>
      </c>
      <c r="D43" s="40"/>
    </row>
    <row r="44" spans="1:4" x14ac:dyDescent="0.2">
      <c r="A44" s="40">
        <v>57.6</v>
      </c>
      <c r="B44" s="40">
        <v>2.79609497</v>
      </c>
      <c r="C44" s="40">
        <v>4.8543320000000001E-2</v>
      </c>
      <c r="D44" s="40"/>
    </row>
    <row r="45" spans="1:4" x14ac:dyDescent="0.2">
      <c r="A45" s="40">
        <v>58.2</v>
      </c>
      <c r="B45" s="40">
        <v>2.58013249</v>
      </c>
      <c r="C45" s="40">
        <v>4.4332169999999997E-2</v>
      </c>
      <c r="D45" s="40"/>
    </row>
    <row r="46" spans="1:4" x14ac:dyDescent="0.2">
      <c r="A46" s="40">
        <v>60</v>
      </c>
      <c r="B46" s="40">
        <v>2.8427826999999999</v>
      </c>
      <c r="C46" s="40">
        <v>4.7379709999999998E-2</v>
      </c>
      <c r="D46" s="40"/>
    </row>
    <row r="47" spans="1:4" x14ac:dyDescent="0.2">
      <c r="A47" s="40">
        <v>57</v>
      </c>
      <c r="B47" s="40">
        <v>2.4701313699999998</v>
      </c>
      <c r="C47" s="40">
        <v>4.3335640000000002E-2</v>
      </c>
      <c r="D47" s="40"/>
    </row>
    <row r="48" spans="1:4" x14ac:dyDescent="0.2">
      <c r="A48" s="40">
        <v>57.6</v>
      </c>
      <c r="B48" s="40">
        <v>2.4097632400000002</v>
      </c>
      <c r="C48" s="40">
        <v>4.1836169999999999E-2</v>
      </c>
      <c r="D48" s="40"/>
    </row>
    <row r="49" spans="1:4" x14ac:dyDescent="0.2">
      <c r="A49" s="40">
        <v>61.8</v>
      </c>
      <c r="B49" s="40">
        <v>2.3284019100000002</v>
      </c>
      <c r="C49" s="40">
        <v>3.767641E-2</v>
      </c>
      <c r="D49" s="40">
        <v>4.1473790000000003E-2</v>
      </c>
    </row>
    <row r="50" spans="1:4" x14ac:dyDescent="0.2">
      <c r="A50" s="40"/>
      <c r="B50" s="40"/>
      <c r="C50" s="40"/>
      <c r="D50" s="40"/>
    </row>
    <row r="51" spans="1:4" x14ac:dyDescent="0.2">
      <c r="A51" s="40"/>
      <c r="B51" s="40"/>
      <c r="C51" s="40"/>
      <c r="D51" s="40"/>
    </row>
    <row r="52" spans="1:4" x14ac:dyDescent="0.2">
      <c r="A52" s="40"/>
      <c r="B52" s="40"/>
      <c r="C52" s="40"/>
      <c r="D52" s="40"/>
    </row>
    <row r="53" spans="1:4" x14ac:dyDescent="0.2">
      <c r="A53" s="40"/>
      <c r="B53" s="40"/>
      <c r="C53" s="40"/>
      <c r="D53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041EF7385C045890977B003D66910" ma:contentTypeVersion="13" ma:contentTypeDescription="Create a new document." ma:contentTypeScope="" ma:versionID="5bb1898a9209897b6ebe4df081d0e07b">
  <xsd:schema xmlns:xsd="http://www.w3.org/2001/XMLSchema" xmlns:xs="http://www.w3.org/2001/XMLSchema" xmlns:p="http://schemas.microsoft.com/office/2006/metadata/properties" xmlns:ns3="0a7181e1-3d02-4214-b03a-c2f2097894f6" xmlns:ns4="0fc214ba-5277-4225-a28f-62b601772df0" targetNamespace="http://schemas.microsoft.com/office/2006/metadata/properties" ma:root="true" ma:fieldsID="64adf3c8b13d47d38bf422694404bc33" ns3:_="" ns4:_="">
    <xsd:import namespace="0a7181e1-3d02-4214-b03a-c2f2097894f6"/>
    <xsd:import namespace="0fc214ba-5277-4225-a28f-62b601772d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81e1-3d02-4214-b03a-c2f209789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214ba-5277-4225-a28f-62b601772df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8D023D-19D6-4D84-84D2-C32454BB4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7181e1-3d02-4214-b03a-c2f2097894f6"/>
    <ds:schemaRef ds:uri="0fc214ba-5277-4225-a28f-62b601772d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D061EB-C1D8-4E50-BB51-A215E6AE33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59DE56-B70F-47D6-B66D-23F910CC02B2}">
  <ds:schemaRefs>
    <ds:schemaRef ds:uri="http://purl.org/dc/terms/"/>
    <ds:schemaRef ds:uri="http://purl.org/dc/elements/1.1/"/>
    <ds:schemaRef ds:uri="0fc214ba-5277-4225-a28f-62b601772df0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0a7181e1-3d02-4214-b03a-c2f2097894f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County-wide Sales</vt:lpstr>
      <vt:lpstr>Superior Store Sales</vt:lpstr>
      <vt:lpstr>Resullts</vt:lpstr>
    </vt:vector>
  </TitlesOfParts>
  <Manager/>
  <Company>ASW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A. Williams</dc:creator>
  <cp:keywords/>
  <dc:description/>
  <cp:lastModifiedBy>Alex Claunch</cp:lastModifiedBy>
  <cp:revision/>
  <dcterms:created xsi:type="dcterms:W3CDTF">2009-01-18T12:29:56Z</dcterms:created>
  <dcterms:modified xsi:type="dcterms:W3CDTF">2025-02-17T06:22:07Z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0x010100F8A041EF7385C045890977B003D66910</vt:lpwstr>
  </property>
</Properties>
</file>