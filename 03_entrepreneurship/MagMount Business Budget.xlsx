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claunch/Downloads/"/>
    </mc:Choice>
  </mc:AlternateContent>
  <xr:revisionPtr revIDLastSave="0" documentId="13_ncr:1_{D3802698-D056-014C-964D-91EDBF061EEE}" xr6:coauthVersionLast="47" xr6:coauthVersionMax="47" xr10:uidLastSave="{00000000-0000-0000-0000-000000000000}"/>
  <bookViews>
    <workbookView xWindow="0" yWindow="1520" windowWidth="27400" windowHeight="17500" xr2:uid="{AF039071-7380-B140-BD3D-E5BF4C9BEB21}"/>
  </bookViews>
  <sheets>
    <sheet name="Business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2" i="1" l="1"/>
  <c r="N42" i="1"/>
  <c r="M42" i="1"/>
  <c r="L42" i="1"/>
  <c r="K42" i="1"/>
  <c r="J42" i="1"/>
  <c r="I42" i="1"/>
  <c r="H42" i="1"/>
  <c r="G42" i="1"/>
  <c r="F42" i="1"/>
  <c r="E42" i="1"/>
  <c r="D42" i="1"/>
  <c r="O31" i="1"/>
  <c r="O20" i="1"/>
  <c r="N31" i="1"/>
  <c r="N20" i="1"/>
  <c r="M31" i="1"/>
  <c r="M20" i="1"/>
  <c r="L31" i="1"/>
  <c r="L20" i="1"/>
  <c r="K31" i="1"/>
  <c r="K20" i="1"/>
  <c r="J31" i="1"/>
  <c r="J20" i="1"/>
  <c r="I31" i="1"/>
  <c r="I20" i="1"/>
  <c r="H31" i="1"/>
  <c r="H20" i="1"/>
  <c r="G31" i="1"/>
  <c r="G20" i="1"/>
  <c r="F31" i="1"/>
  <c r="F20" i="1"/>
  <c r="E31" i="1"/>
  <c r="E20" i="1"/>
  <c r="D31" i="1"/>
  <c r="D20" i="1"/>
  <c r="D6" i="1"/>
  <c r="H44" i="1" l="1"/>
  <c r="I44" i="1"/>
  <c r="N44" i="1"/>
  <c r="F44" i="1"/>
  <c r="M44" i="1"/>
  <c r="G44" i="1"/>
  <c r="O44" i="1"/>
  <c r="E44" i="1"/>
  <c r="K44" i="1"/>
  <c r="D44" i="1"/>
  <c r="D47" i="1" s="1"/>
  <c r="E2" i="1" s="1"/>
  <c r="E6" i="1" s="1"/>
  <c r="L44" i="1"/>
  <c r="J44" i="1"/>
  <c r="E47" i="1" l="1"/>
  <c r="F2" i="1" s="1"/>
  <c r="F6" i="1" s="1"/>
  <c r="F47" i="1" s="1"/>
  <c r="G2" i="1" s="1"/>
  <c r="G6" i="1" s="1"/>
  <c r="G47" i="1" s="1"/>
  <c r="H2" i="1" s="1"/>
  <c r="H6" i="1" s="1"/>
  <c r="H47" i="1" s="1"/>
  <c r="I2" i="1" s="1"/>
  <c r="I6" i="1" s="1"/>
  <c r="I47" i="1" s="1"/>
  <c r="J2" i="1" s="1"/>
  <c r="J6" i="1" s="1"/>
  <c r="J47" i="1" s="1"/>
  <c r="K2" i="1" s="1"/>
  <c r="K6" i="1" s="1"/>
  <c r="K47" i="1" s="1"/>
  <c r="L2" i="1" s="1"/>
  <c r="L6" i="1" s="1"/>
  <c r="L47" i="1" s="1"/>
  <c r="M2" i="1" s="1"/>
  <c r="M6" i="1" s="1"/>
  <c r="M47" i="1" s="1"/>
  <c r="N2" i="1" s="1"/>
  <c r="N6" i="1" s="1"/>
  <c r="N47" i="1" s="1"/>
  <c r="O2" i="1" s="1"/>
  <c r="O6" i="1" s="1"/>
  <c r="O47" i="1" s="1"/>
</calcChain>
</file>

<file path=xl/sharedStrings.xml><?xml version="1.0" encoding="utf-8"?>
<sst xmlns="http://schemas.openxmlformats.org/spreadsheetml/2006/main" count="75" uniqueCount="40">
  <si>
    <t>Beginning Cash Balance</t>
  </si>
  <si>
    <t>Sales</t>
  </si>
  <si>
    <t>Total Cash Available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</si>
  <si>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</si>
  <si>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</si>
  <si>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</si>
  <si>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</si>
  <si>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</si>
  <si>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</si>
  <si>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</si>
  <si>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</si>
  <si>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</si>
  <si>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</si>
  <si>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</si>
  <si>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</si>
  <si>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----------------</t>
  </si>
  <si>
    <t>Total Expenses</t>
  </si>
  <si>
    <t>Expenses Sub-Total</t>
  </si>
  <si>
    <t>Revenue</t>
  </si>
  <si>
    <t xml:space="preserve">Variable Costs </t>
  </si>
  <si>
    <t xml:space="preserve">Fixed Costs </t>
  </si>
  <si>
    <t>Fixed Costs Sub-Total</t>
  </si>
  <si>
    <t>Ending Cash Balance</t>
  </si>
  <si>
    <t>Do not touch cells with this shading</t>
  </si>
  <si>
    <t>One-time Cost &amp; Expenses</t>
  </si>
  <si>
    <t>Equipment (molds, tools, printer access)</t>
  </si>
  <si>
    <t>Legal &amp; licensing fees</t>
  </si>
  <si>
    <t>Initial inventory (150 units)</t>
  </si>
  <si>
    <t>Website &amp; eCommerce setup</t>
  </si>
  <si>
    <t>Initial Marketing (social ads)</t>
  </si>
  <si>
    <t>Insurance</t>
  </si>
  <si>
    <t>Software subscriptions</t>
  </si>
  <si>
    <t>Storage unit rent</t>
  </si>
  <si>
    <t>Website hosting</t>
  </si>
  <si>
    <t>Business Insurance</t>
  </si>
  <si>
    <t>Neodymium magnets</t>
  </si>
  <si>
    <t>Rubber coating</t>
  </si>
  <si>
    <t>3D-printed casing</t>
  </si>
  <si>
    <t>Packaging</t>
  </si>
  <si>
    <t>Production Materials: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</si>
</sst>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9" formatCode="_([$$-409]* #,##0.00_);_([$$-409]* \(#,##0.00\);_([$$-409]* &quot;-&quot;??_);_(@_)"/>
  </numFmts>
  <fonts count="10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3" fillId="3" borderId="0" xfId="0" applyFont="1" applyFill="1"/>
    <xf numFmtId="0" fontId="7" fillId="0" borderId="0" xfId="0" applyFont="1"/>
    <xf numFmtId="44" fontId="8" fillId="0" borderId="0" xfId="1" applyFont="1"/>
    <xf numFmtId="44" fontId="8" fillId="0" borderId="0" xfId="1" applyFont="1" applyAlignment="1">
      <alignment horizontal="center"/>
    </xf>
    <xf numFmtId="169" fontId="8" fillId="0" borderId="0" xfId="1" applyNumberFormat="1" applyFont="1" applyAlignment="1">
      <alignment horizontal="center"/>
    </xf>
    <xf numFmtId="0" fontId="9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58F3-7F37-F242-8107-ACBFD99FC7B5}">
  <dimension ref="A1:U48"/>
  <sheetViews>
    <sheetView tabSelected="1" topLeftCell="B20" zoomScale="125" workbookViewId="0">
      <selection activeCell="N33" sqref="N33"/>
    </sheetView>
  </sheetViews>
  <sheetFormatPr baseColWidth="10" defaultRowHeight="16" x14ac:dyDescent="0.2"/>
  <cols>
    <col min="1" max="1" width="4.5" customWidth="1"/>
    <col min="2" max="2" width="8.83203125" customWidth="1"/>
    <col min="3" max="3" width="14.33203125" customWidth="1"/>
  </cols>
  <sheetData>
    <row r="1" spans="1:21" x14ac:dyDescent="0.2"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1" x14ac:dyDescent="0.2">
      <c r="A2" t="s">
        <v>0</v>
      </c>
      <c r="D2" s="6">
        <v>1000</v>
      </c>
      <c r="E2" s="8">
        <f t="shared" ref="E2:O2" si="0">D47</f>
        <v>-4560</v>
      </c>
      <c r="F2" s="8">
        <f t="shared" si="0"/>
        <v>-5370</v>
      </c>
      <c r="G2" s="8">
        <f t="shared" si="0"/>
        <v>-5030</v>
      </c>
      <c r="H2" s="8">
        <f t="shared" si="0"/>
        <v>-4340</v>
      </c>
      <c r="I2" s="8">
        <f t="shared" si="0"/>
        <v>-3300</v>
      </c>
      <c r="J2" s="8">
        <f t="shared" si="0"/>
        <v>-1560</v>
      </c>
      <c r="K2" s="8">
        <f t="shared" si="0"/>
        <v>880</v>
      </c>
      <c r="L2" s="8">
        <f t="shared" si="0"/>
        <v>4020</v>
      </c>
      <c r="M2" s="8">
        <f t="shared" si="0"/>
        <v>6810</v>
      </c>
      <c r="N2" s="8">
        <f t="shared" si="0"/>
        <v>9250</v>
      </c>
      <c r="O2" s="8">
        <f t="shared" si="0"/>
        <v>11340</v>
      </c>
      <c r="P2" s="10" t="s">
        <v>23</v>
      </c>
    </row>
    <row r="3" spans="1:21" x14ac:dyDescent="0.2">
      <c r="A3" t="s">
        <v>18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21" x14ac:dyDescent="0.2">
      <c r="B4" t="s">
        <v>1</v>
      </c>
      <c r="D4" s="6">
        <v>0</v>
      </c>
      <c r="E4" s="6">
        <v>0</v>
      </c>
      <c r="F4" s="6">
        <v>700</v>
      </c>
      <c r="G4" s="6">
        <v>1050</v>
      </c>
      <c r="H4" s="6">
        <v>1400</v>
      </c>
      <c r="I4" s="6">
        <v>2100</v>
      </c>
      <c r="J4" s="6">
        <v>2800</v>
      </c>
      <c r="K4" s="6">
        <v>3500</v>
      </c>
      <c r="L4" s="6">
        <v>3150</v>
      </c>
      <c r="M4" s="6">
        <v>2800</v>
      </c>
      <c r="N4" s="6">
        <v>2450</v>
      </c>
      <c r="O4" s="6">
        <v>2100</v>
      </c>
    </row>
    <row r="5" spans="1:21" x14ac:dyDescent="0.2"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21" ht="17" thickBot="1" x14ac:dyDescent="0.25">
      <c r="A6" t="s">
        <v>2</v>
      </c>
      <c r="D6" s="9">
        <f t="shared" ref="D6:O6" si="1">SUM(D2:D5)</f>
        <v>1000</v>
      </c>
      <c r="E6" s="9">
        <f t="shared" si="1"/>
        <v>-4560</v>
      </c>
      <c r="F6" s="9">
        <f t="shared" si="1"/>
        <v>-4670</v>
      </c>
      <c r="G6" s="9">
        <f t="shared" si="1"/>
        <v>-3980</v>
      </c>
      <c r="H6" s="9">
        <f t="shared" si="1"/>
        <v>-2940</v>
      </c>
      <c r="I6" s="9">
        <f t="shared" si="1"/>
        <v>-1200</v>
      </c>
      <c r="J6" s="9">
        <f t="shared" si="1"/>
        <v>1240</v>
      </c>
      <c r="K6" s="9">
        <f t="shared" si="1"/>
        <v>4380</v>
      </c>
      <c r="L6" s="9">
        <f t="shared" si="1"/>
        <v>7170</v>
      </c>
      <c r="M6" s="9">
        <f t="shared" si="1"/>
        <v>9610</v>
      </c>
      <c r="N6" s="9">
        <f t="shared" si="1"/>
        <v>11700</v>
      </c>
      <c r="O6" s="9">
        <f t="shared" si="1"/>
        <v>13440</v>
      </c>
    </row>
    <row r="7" spans="1:21" ht="17" thickTop="1" x14ac:dyDescent="0.2"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21" x14ac:dyDescent="0.2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21" x14ac:dyDescent="0.2">
      <c r="B9" s="5" t="s">
        <v>24</v>
      </c>
      <c r="C9" s="4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21" x14ac:dyDescent="0.2">
      <c r="B10" t="s">
        <v>25</v>
      </c>
      <c r="D10" s="12">
        <v>2000</v>
      </c>
      <c r="E10" s="13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T10" s="11">
        <v>2000</v>
      </c>
      <c r="U10" s="11">
        <v>2000</v>
      </c>
    </row>
    <row r="11" spans="1:21" x14ac:dyDescent="0.2">
      <c r="B11" t="s">
        <v>26</v>
      </c>
      <c r="D11" s="12">
        <v>500</v>
      </c>
      <c r="E11" s="13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T11" s="11">
        <v>500</v>
      </c>
      <c r="U11" s="11">
        <v>500</v>
      </c>
    </row>
    <row r="12" spans="1:21" x14ac:dyDescent="0.2">
      <c r="B12" t="s">
        <v>27</v>
      </c>
      <c r="D12" s="12">
        <v>1500</v>
      </c>
      <c r="E12" s="14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T12" s="11">
        <v>1500</v>
      </c>
      <c r="U12" s="11">
        <v>1500</v>
      </c>
    </row>
    <row r="13" spans="1:21" x14ac:dyDescent="0.2">
      <c r="B13" t="s">
        <v>28</v>
      </c>
      <c r="D13" s="12">
        <v>750</v>
      </c>
      <c r="E13" s="13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T13" s="11">
        <v>750</v>
      </c>
      <c r="U13" s="11">
        <v>750</v>
      </c>
    </row>
    <row r="14" spans="1:21" x14ac:dyDescent="0.2">
      <c r="B14" s="2"/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21" x14ac:dyDescent="0.2">
      <c r="B15" t="s">
        <v>29</v>
      </c>
      <c r="D15" s="6">
        <v>300</v>
      </c>
      <c r="E15" s="6">
        <v>300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</row>
    <row r="16" spans="1:21" x14ac:dyDescent="0.2">
      <c r="B16" t="s">
        <v>30</v>
      </c>
      <c r="D16" s="6">
        <v>100</v>
      </c>
      <c r="E16" s="6">
        <v>100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2:15" x14ac:dyDescent="0.2">
      <c r="B17" t="s">
        <v>31</v>
      </c>
      <c r="D17" s="6">
        <v>50</v>
      </c>
      <c r="E17" s="6">
        <v>50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</row>
    <row r="18" spans="2:15" x14ac:dyDescent="0.2">
      <c r="B18" s="2"/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2:15" x14ac:dyDescent="0.2">
      <c r="B19" s="2"/>
      <c r="D19" s="7" t="s">
        <v>15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  <c r="J19" s="7" t="s">
        <v>15</v>
      </c>
      <c r="K19" s="7" t="s">
        <v>15</v>
      </c>
      <c r="L19" s="7" t="s">
        <v>15</v>
      </c>
      <c r="M19" s="7" t="s">
        <v>15</v>
      </c>
      <c r="N19" s="7" t="s">
        <v>15</v>
      </c>
      <c r="O19" s="7" t="s">
        <v>15</v>
      </c>
    </row>
    <row r="20" spans="2:15" x14ac:dyDescent="0.2">
      <c r="B20" s="3" t="s">
        <v>17</v>
      </c>
      <c r="D20" s="8">
        <f t="shared" ref="D20:O20" si="2">SUM(D10:D19)</f>
        <v>5200</v>
      </c>
      <c r="E20" s="8">
        <f t="shared" si="2"/>
        <v>450</v>
      </c>
      <c r="F20" s="8">
        <f t="shared" si="2"/>
        <v>0</v>
      </c>
      <c r="G20" s="8">
        <f t="shared" si="2"/>
        <v>0</v>
      </c>
      <c r="H20" s="8">
        <f t="shared" si="2"/>
        <v>0</v>
      </c>
      <c r="I20" s="8">
        <f t="shared" si="2"/>
        <v>0</v>
      </c>
      <c r="J20" s="8">
        <f t="shared" si="2"/>
        <v>0</v>
      </c>
      <c r="K20" s="8">
        <f t="shared" si="2"/>
        <v>0</v>
      </c>
      <c r="L20" s="8">
        <f t="shared" si="2"/>
        <v>0</v>
      </c>
      <c r="M20" s="8">
        <f t="shared" si="2"/>
        <v>0</v>
      </c>
      <c r="N20" s="8">
        <f t="shared" si="2"/>
        <v>0</v>
      </c>
      <c r="O20" s="8">
        <f t="shared" si="2"/>
        <v>0</v>
      </c>
    </row>
    <row r="21" spans="2:15" x14ac:dyDescent="0.2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2:15" x14ac:dyDescent="0.2">
      <c r="B22" s="5" t="s">
        <v>20</v>
      </c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2:15" x14ac:dyDescent="0.2">
      <c r="B23" s="15" t="s">
        <v>32</v>
      </c>
      <c r="D23" s="6">
        <v>200</v>
      </c>
      <c r="E23" s="6">
        <v>200</v>
      </c>
      <c r="F23" s="6">
        <v>200</v>
      </c>
      <c r="G23" s="6">
        <v>200</v>
      </c>
      <c r="H23" s="6">
        <v>200</v>
      </c>
      <c r="I23" s="6">
        <v>200</v>
      </c>
      <c r="J23" s="6">
        <v>200</v>
      </c>
      <c r="K23" s="6">
        <v>200</v>
      </c>
      <c r="L23" s="6">
        <v>200</v>
      </c>
      <c r="M23" s="6">
        <v>200</v>
      </c>
      <c r="N23" s="6">
        <v>200</v>
      </c>
      <c r="O23" s="6">
        <v>200</v>
      </c>
    </row>
    <row r="24" spans="2:15" x14ac:dyDescent="0.2">
      <c r="B24" s="15" t="s">
        <v>33</v>
      </c>
      <c r="D24" s="6">
        <v>50</v>
      </c>
      <c r="E24" s="6">
        <v>50</v>
      </c>
      <c r="F24" s="6">
        <v>50</v>
      </c>
      <c r="G24" s="6">
        <v>50</v>
      </c>
      <c r="H24" s="6">
        <v>50</v>
      </c>
      <c r="I24" s="6">
        <v>50</v>
      </c>
      <c r="J24" s="6">
        <v>50</v>
      </c>
      <c r="K24" s="6">
        <v>50</v>
      </c>
      <c r="L24" s="6">
        <v>50</v>
      </c>
      <c r="M24" s="6">
        <v>50</v>
      </c>
      <c r="N24" s="6">
        <v>50</v>
      </c>
      <c r="O24" s="6">
        <v>50</v>
      </c>
    </row>
    <row r="25" spans="2:15" x14ac:dyDescent="0.2">
      <c r="B25" s="15" t="s">
        <v>34</v>
      </c>
      <c r="D25" s="6">
        <v>100</v>
      </c>
      <c r="E25" s="6">
        <v>100</v>
      </c>
      <c r="F25" s="6">
        <v>100</v>
      </c>
      <c r="G25" s="6">
        <v>100</v>
      </c>
      <c r="H25" s="6">
        <v>100</v>
      </c>
      <c r="I25" s="6">
        <v>100</v>
      </c>
      <c r="J25" s="6">
        <v>100</v>
      </c>
      <c r="K25" s="6">
        <v>100</v>
      </c>
      <c r="L25" s="6">
        <v>100</v>
      </c>
      <c r="M25" s="6">
        <v>100</v>
      </c>
      <c r="N25" s="6">
        <v>100</v>
      </c>
      <c r="O25" s="6">
        <v>100</v>
      </c>
    </row>
    <row r="26" spans="2:15" x14ac:dyDescent="0.2">
      <c r="B26" s="2"/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2:15" x14ac:dyDescent="0.2">
      <c r="B27" s="2"/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</row>
    <row r="28" spans="2:15" x14ac:dyDescent="0.2">
      <c r="B28" s="2"/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</row>
    <row r="29" spans="2:15" x14ac:dyDescent="0.2">
      <c r="B29" s="2"/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</row>
    <row r="30" spans="2:15" x14ac:dyDescent="0.2">
      <c r="D30" s="7" t="s">
        <v>15</v>
      </c>
      <c r="E30" s="7" t="s">
        <v>15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  <c r="K30" s="7" t="s">
        <v>15</v>
      </c>
      <c r="L30" s="7" t="s">
        <v>15</v>
      </c>
      <c r="M30" s="7" t="s">
        <v>15</v>
      </c>
      <c r="N30" s="7" t="s">
        <v>15</v>
      </c>
      <c r="O30" s="7" t="s">
        <v>15</v>
      </c>
    </row>
    <row r="31" spans="2:15" x14ac:dyDescent="0.2">
      <c r="B31" s="3" t="s">
        <v>21</v>
      </c>
      <c r="D31" s="8">
        <f t="shared" ref="D31:O31" si="3">SUM(D23:D30)</f>
        <v>350</v>
      </c>
      <c r="E31" s="8">
        <f t="shared" si="3"/>
        <v>350</v>
      </c>
      <c r="F31" s="8">
        <f t="shared" si="3"/>
        <v>350</v>
      </c>
      <c r="G31" s="8">
        <f t="shared" si="3"/>
        <v>350</v>
      </c>
      <c r="H31" s="8">
        <f t="shared" si="3"/>
        <v>350</v>
      </c>
      <c r="I31" s="8">
        <f t="shared" si="3"/>
        <v>350</v>
      </c>
      <c r="J31" s="8">
        <f t="shared" si="3"/>
        <v>350</v>
      </c>
      <c r="K31" s="8">
        <f t="shared" si="3"/>
        <v>350</v>
      </c>
      <c r="L31" s="8">
        <f t="shared" si="3"/>
        <v>350</v>
      </c>
      <c r="M31" s="8">
        <f t="shared" si="3"/>
        <v>350</v>
      </c>
      <c r="N31" s="8">
        <f t="shared" si="3"/>
        <v>350</v>
      </c>
      <c r="O31" s="8">
        <f t="shared" si="3"/>
        <v>350</v>
      </c>
    </row>
    <row r="32" spans="2:15" x14ac:dyDescent="0.2"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">
      <c r="B33" s="4" t="s">
        <v>19</v>
      </c>
      <c r="C33" s="4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">
      <c r="B34" t="s">
        <v>39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">
      <c r="B35" t="s">
        <v>35</v>
      </c>
      <c r="D35" s="6">
        <v>4.5</v>
      </c>
      <c r="E35" s="6">
        <v>4.5</v>
      </c>
      <c r="F35" s="6">
        <v>4.5</v>
      </c>
      <c r="G35" s="6">
        <v>4.5</v>
      </c>
      <c r="H35" s="6">
        <v>4.5</v>
      </c>
      <c r="I35" s="6">
        <v>4.5</v>
      </c>
      <c r="J35" s="6">
        <v>4.5</v>
      </c>
      <c r="K35" s="6">
        <v>4.5</v>
      </c>
      <c r="L35" s="6">
        <v>4.5</v>
      </c>
      <c r="M35" s="6">
        <v>4.5</v>
      </c>
      <c r="N35" s="6">
        <v>4.5</v>
      </c>
      <c r="O35" s="6">
        <v>4.5</v>
      </c>
    </row>
    <row r="36" spans="1:15" x14ac:dyDescent="0.2">
      <c r="B36" t="s">
        <v>36</v>
      </c>
      <c r="D36" s="6">
        <v>1.5</v>
      </c>
      <c r="E36" s="6">
        <v>1.5</v>
      </c>
      <c r="F36" s="6">
        <v>1.5</v>
      </c>
      <c r="G36" s="6">
        <v>1.5</v>
      </c>
      <c r="H36" s="6">
        <v>1.5</v>
      </c>
      <c r="I36" s="6">
        <v>1.5</v>
      </c>
      <c r="J36" s="6">
        <v>1.5</v>
      </c>
      <c r="K36" s="6">
        <v>1.5</v>
      </c>
      <c r="L36" s="6">
        <v>1.5</v>
      </c>
      <c r="M36" s="6">
        <v>1.5</v>
      </c>
      <c r="N36" s="6">
        <v>1.5</v>
      </c>
      <c r="O36" s="6">
        <v>1.5</v>
      </c>
    </row>
    <row r="37" spans="1:15" x14ac:dyDescent="0.2">
      <c r="B37" t="s">
        <v>37</v>
      </c>
      <c r="D37" s="6">
        <v>2.5</v>
      </c>
      <c r="E37" s="6">
        <v>2.5</v>
      </c>
      <c r="F37" s="6">
        <v>2.5</v>
      </c>
      <c r="G37" s="6">
        <v>2.5</v>
      </c>
      <c r="H37" s="6">
        <v>2.5</v>
      </c>
      <c r="I37" s="6">
        <v>2.5</v>
      </c>
      <c r="J37" s="6">
        <v>2.5</v>
      </c>
      <c r="K37" s="6">
        <v>2.5</v>
      </c>
      <c r="L37" s="6">
        <v>2.5</v>
      </c>
      <c r="M37" s="6">
        <v>2.5</v>
      </c>
      <c r="N37" s="6">
        <v>2.5</v>
      </c>
      <c r="O37" s="6">
        <v>2.5</v>
      </c>
    </row>
    <row r="38" spans="1:15" x14ac:dyDescent="0.2">
      <c r="B38" t="s">
        <v>38</v>
      </c>
      <c r="D38" s="6">
        <v>1.5</v>
      </c>
      <c r="E38" s="6">
        <v>1.5</v>
      </c>
      <c r="F38" s="6">
        <v>1.5</v>
      </c>
      <c r="G38" s="6">
        <v>1.5</v>
      </c>
      <c r="H38" s="6">
        <v>1.5</v>
      </c>
      <c r="I38" s="6">
        <v>1.5</v>
      </c>
      <c r="J38" s="6">
        <v>1.5</v>
      </c>
      <c r="K38" s="6">
        <v>1.5</v>
      </c>
      <c r="L38" s="6">
        <v>1.5</v>
      </c>
      <c r="M38" s="6">
        <v>1.5</v>
      </c>
      <c r="N38" s="6">
        <v>1.5</v>
      </c>
      <c r="O38" s="6">
        <v>1.5</v>
      </c>
    </row>
    <row r="39" spans="1:15" x14ac:dyDescent="0.2"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</row>
    <row r="40" spans="1:15" x14ac:dyDescent="0.2"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 x14ac:dyDescent="0.2">
      <c r="D41" s="7" t="s">
        <v>15</v>
      </c>
      <c r="E41" s="7" t="s">
        <v>15</v>
      </c>
      <c r="F41" s="7" t="s">
        <v>15</v>
      </c>
      <c r="G41" s="7" t="s">
        <v>15</v>
      </c>
      <c r="H41" s="7" t="s">
        <v>15</v>
      </c>
      <c r="I41" s="7" t="s">
        <v>15</v>
      </c>
      <c r="J41" s="7" t="s">
        <v>15</v>
      </c>
      <c r="K41" s="7" t="s">
        <v>15</v>
      </c>
      <c r="L41" s="7" t="s">
        <v>15</v>
      </c>
      <c r="M41" s="7" t="s">
        <v>15</v>
      </c>
      <c r="N41" s="7" t="s">
        <v>15</v>
      </c>
      <c r="O41" s="7" t="s">
        <v>15</v>
      </c>
    </row>
    <row r="42" spans="1:15" x14ac:dyDescent="0.2">
      <c r="D42" s="8">
        <f>SUM(D34:D41)</f>
        <v>10</v>
      </c>
      <c r="E42" s="8">
        <f t="shared" ref="E42:O42" si="4">SUM(E34:E41)</f>
        <v>10</v>
      </c>
      <c r="F42" s="8">
        <f t="shared" si="4"/>
        <v>10</v>
      </c>
      <c r="G42" s="8">
        <f t="shared" si="4"/>
        <v>10</v>
      </c>
      <c r="H42" s="8">
        <f t="shared" si="4"/>
        <v>10</v>
      </c>
      <c r="I42" s="8">
        <f t="shared" si="4"/>
        <v>10</v>
      </c>
      <c r="J42" s="8">
        <f t="shared" si="4"/>
        <v>10</v>
      </c>
      <c r="K42" s="8">
        <f t="shared" si="4"/>
        <v>10</v>
      </c>
      <c r="L42" s="8">
        <f t="shared" si="4"/>
        <v>10</v>
      </c>
      <c r="M42" s="8">
        <f t="shared" si="4"/>
        <v>10</v>
      </c>
      <c r="N42" s="8">
        <f t="shared" si="4"/>
        <v>10</v>
      </c>
      <c r="O42" s="8">
        <f t="shared" si="4"/>
        <v>10</v>
      </c>
    </row>
    <row r="43" spans="1:15" x14ac:dyDescent="0.2"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ht="17" thickBot="1" x14ac:dyDescent="0.25">
      <c r="A44" t="s">
        <v>16</v>
      </c>
      <c r="D44" s="9">
        <f>D42+D31+D20</f>
        <v>5560</v>
      </c>
      <c r="E44" s="9">
        <f t="shared" ref="E44:O44" si="5">E42+E31+E20</f>
        <v>810</v>
      </c>
      <c r="F44" s="9">
        <f t="shared" si="5"/>
        <v>360</v>
      </c>
      <c r="G44" s="9">
        <f t="shared" si="5"/>
        <v>360</v>
      </c>
      <c r="H44" s="9">
        <f t="shared" si="5"/>
        <v>360</v>
      </c>
      <c r="I44" s="9">
        <f t="shared" si="5"/>
        <v>360</v>
      </c>
      <c r="J44" s="9">
        <f t="shared" si="5"/>
        <v>360</v>
      </c>
      <c r="K44" s="9">
        <f t="shared" si="5"/>
        <v>360</v>
      </c>
      <c r="L44" s="9">
        <f t="shared" si="5"/>
        <v>360</v>
      </c>
      <c r="M44" s="9">
        <f t="shared" si="5"/>
        <v>360</v>
      </c>
      <c r="N44" s="9">
        <f t="shared" si="5"/>
        <v>360</v>
      </c>
      <c r="O44" s="9">
        <f t="shared" si="5"/>
        <v>360</v>
      </c>
    </row>
    <row r="45" spans="1:15" ht="17" thickTop="1" x14ac:dyDescent="0.2"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"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17" thickBot="1" x14ac:dyDescent="0.25">
      <c r="A47" t="s">
        <v>22</v>
      </c>
      <c r="D47" s="9">
        <f t="shared" ref="D47:O47" si="6">D6-D44</f>
        <v>-4560</v>
      </c>
      <c r="E47" s="9">
        <f t="shared" si="6"/>
        <v>-5370</v>
      </c>
      <c r="F47" s="9">
        <f t="shared" si="6"/>
        <v>-5030</v>
      </c>
      <c r="G47" s="9">
        <f t="shared" si="6"/>
        <v>-4340</v>
      </c>
      <c r="H47" s="9">
        <f t="shared" si="6"/>
        <v>-3300</v>
      </c>
      <c r="I47" s="9">
        <f t="shared" si="6"/>
        <v>-1560</v>
      </c>
      <c r="J47" s="9">
        <f t="shared" si="6"/>
        <v>880</v>
      </c>
      <c r="K47" s="9">
        <f t="shared" si="6"/>
        <v>4020</v>
      </c>
      <c r="L47" s="9">
        <f t="shared" si="6"/>
        <v>6810</v>
      </c>
      <c r="M47" s="9">
        <f t="shared" si="6"/>
        <v>9250</v>
      </c>
      <c r="N47" s="9">
        <f t="shared" si="6"/>
        <v>11340</v>
      </c>
      <c r="O47" s="9">
        <f t="shared" si="6"/>
        <v>13080</v>
      </c>
    </row>
    <row r="48" spans="1:15" ht="17" thickTop="1" x14ac:dyDescent="0.2"/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FF7CB7E401B418EC44582772D9B35" ma:contentTypeVersion="13" ma:contentTypeDescription="Create a new document." ma:contentTypeScope="" ma:versionID="5f2b4381d0c76d636acb13f17200984d">
  <xsd:schema xmlns:xsd="http://www.w3.org/2001/XMLSchema" xmlns:xs="http://www.w3.org/2001/XMLSchema" xmlns:p="http://schemas.microsoft.com/office/2006/metadata/properties" xmlns:ns2="7edd72d4-6ff1-4792-bbe9-518c9c672b0e" xmlns:ns3="09c028f9-7623-4de7-8838-07890f813e2a" targetNamespace="http://schemas.microsoft.com/office/2006/metadata/properties" ma:root="true" ma:fieldsID="d9e3058bba6573f931d8a288637ca503" ns2:_="" ns3:_="">
    <xsd:import namespace="7edd72d4-6ff1-4792-bbe9-518c9c672b0e"/>
    <xsd:import namespace="09c028f9-7623-4de7-8838-07890f813e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d72d4-6ff1-4792-bbe9-518c9c672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5d4096-f54e-457a-8f2d-f1e5b72267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028f9-7623-4de7-8838-07890f813e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ce9c82-02b5-4857-a491-d701a9a7e0f9}" ma:internalName="TaxCatchAll" ma:showField="CatchAllData" ma:web="09c028f9-7623-4de7-8838-07890f813e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dd72d4-6ff1-4792-bbe9-518c9c672b0e">
      <Terms xmlns="http://schemas.microsoft.com/office/infopath/2007/PartnerControls"/>
    </lcf76f155ced4ddcb4097134ff3c332f>
    <TaxCatchAll xmlns="09c028f9-7623-4de7-8838-07890f813e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F57250-5737-40C3-AF1E-8C7EBD1D0D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d72d4-6ff1-4792-bbe9-518c9c672b0e"/>
    <ds:schemaRef ds:uri="09c028f9-7623-4de7-8838-07890f813e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976D65-9A76-43DB-9908-659FA127DD1D}">
  <ds:schemaRefs>
    <ds:schemaRef ds:uri="http://schemas.microsoft.com/office/2006/metadata/properties"/>
    <ds:schemaRef ds:uri="http://schemas.microsoft.com/office/infopath/2007/PartnerControls"/>
    <ds:schemaRef ds:uri="7edd72d4-6ff1-4792-bbe9-518c9c672b0e"/>
    <ds:schemaRef ds:uri="09c028f9-7623-4de7-8838-07890f813e2a"/>
  </ds:schemaRefs>
</ds:datastoreItem>
</file>

<file path=customXml/itemProps3.xml><?xml version="1.0" encoding="utf-8"?>
<ds:datastoreItem xmlns:ds="http://schemas.openxmlformats.org/officeDocument/2006/customXml" ds:itemID="{CD7E0C65-86AD-4D74-82BE-F5F1A7DC7D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 Claunch</cp:lastModifiedBy>
  <dcterms:created xsi:type="dcterms:W3CDTF">2022-05-09T17:14:57Z</dcterms:created>
  <dcterms:modified xsi:type="dcterms:W3CDTF">2025-05-27T16:40:59Z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0x01010041AFF7CB7E401B418EC44582772D9B35</vt:lpwstr>
  </property>
</Properties>
</file>